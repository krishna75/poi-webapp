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9630" yWindow="1485" windowWidth="11355" windowHeight="9105"/>
  </bookViews>
  <sheets>
    <sheet name="Calcs" sheetId="5" r:id="rId1"/>
    <sheet name="Sensitivity Analysis" sheetId="10" r:id="rId2"/>
  </sheets>
  <externalReferences>
    <externalReference r:id="rId3"/>
  </externalReferences>
  <definedNames>
    <definedName name="Dairy_Cows">Calcs!$D$4</definedName>
    <definedName name="Elec_Capacity">Calcs!$D$40</definedName>
    <definedName name="Input_Scroll">Calcs!$I$4</definedName>
    <definedName name="Maize_Area">Calcs!$D$5</definedName>
    <definedName name="solver_adj" localSheetId="0" hidden="1">Calcs!$D$4:$D$5</definedName>
    <definedName name="solver_cvg" localSheetId="0" hidden="1">0.0001</definedName>
    <definedName name="solver_drv" localSheetId="0" hidden="1">1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Calcs!$D$4</definedName>
    <definedName name="solver_lhs2" localSheetId="0" hidden="1">Calcs!$D$4</definedName>
    <definedName name="solver_lhs3" localSheetId="0" hidden="1">Calcs!$D$5</definedName>
    <definedName name="solver_lhs4" localSheetId="0" hidden="1">Calcs!$D$5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Calcs!$D$116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hs1" localSheetId="0" hidden="1">700</definedName>
    <definedName name="solver_rhs2" localSheetId="0" hidden="1">0</definedName>
    <definedName name="solver_rhs3" localSheetId="0" hidden="1">200</definedName>
    <definedName name="solver_rhs4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PB">Calcs!$D$116</definedName>
  </definedNames>
  <calcPr calcId="144525"/>
</workbook>
</file>

<file path=xl/calcChain.xml><?xml version="1.0" encoding="utf-8"?>
<calcChain xmlns="http://schemas.openxmlformats.org/spreadsheetml/2006/main">
  <c r="D64" i="5" l="1"/>
  <c r="G26" i="10"/>
  <c r="F26" i="10"/>
  <c r="E26" i="10"/>
  <c r="C26" i="10"/>
  <c r="B26" i="10"/>
  <c r="A10" i="10"/>
  <c r="D26" i="10" s="1"/>
  <c r="B61" i="5"/>
  <c r="C61" i="5"/>
  <c r="D61" i="5"/>
  <c r="B62" i="5"/>
  <c r="C62" i="5"/>
  <c r="D62" i="5"/>
  <c r="D90" i="5"/>
  <c r="B11" i="10" l="1"/>
  <c r="E37" i="10" s="1"/>
  <c r="B13" i="10"/>
  <c r="G37" i="10" s="1"/>
  <c r="K26" i="10"/>
  <c r="U26" i="10"/>
  <c r="V26" i="10"/>
  <c r="O26" i="10"/>
  <c r="Y26" i="10"/>
  <c r="I26" i="10"/>
  <c r="R26" i="10" s="1"/>
  <c r="M26" i="10"/>
  <c r="N26" i="10"/>
  <c r="W26" i="10"/>
  <c r="X26" i="10"/>
  <c r="A27" i="10"/>
  <c r="D27" i="10"/>
  <c r="I27" i="10"/>
  <c r="T27" i="10"/>
  <c r="U27" i="10"/>
  <c r="V27" i="10"/>
  <c r="W27" i="10"/>
  <c r="X27" i="10"/>
  <c r="Y27" i="10"/>
  <c r="AA27" i="10"/>
  <c r="A28" i="10"/>
  <c r="D28" i="10"/>
  <c r="I28" i="10"/>
  <c r="T28" i="10"/>
  <c r="U28" i="10"/>
  <c r="V28" i="10"/>
  <c r="W28" i="10"/>
  <c r="X28" i="10"/>
  <c r="Y28" i="10"/>
  <c r="AA28" i="10"/>
  <c r="A29" i="10"/>
  <c r="I29" i="10" s="1"/>
  <c r="D29" i="10"/>
  <c r="T29" i="10"/>
  <c r="U29" i="10"/>
  <c r="V29" i="10"/>
  <c r="W29" i="10"/>
  <c r="X29" i="10"/>
  <c r="Y29" i="10"/>
  <c r="AA29" i="10"/>
  <c r="A30" i="10"/>
  <c r="I30" i="10" s="1"/>
  <c r="D30" i="10"/>
  <c r="T30" i="10"/>
  <c r="U30" i="10"/>
  <c r="V30" i="10"/>
  <c r="W30" i="10"/>
  <c r="X30" i="10"/>
  <c r="Y30" i="10"/>
  <c r="AA30" i="10"/>
  <c r="A31" i="10"/>
  <c r="I31" i="10" s="1"/>
  <c r="D31" i="10"/>
  <c r="T31" i="10"/>
  <c r="U31" i="10"/>
  <c r="V31" i="10"/>
  <c r="W31" i="10"/>
  <c r="X31" i="10"/>
  <c r="Y31" i="10"/>
  <c r="AA31" i="10"/>
  <c r="A32" i="10"/>
  <c r="I32" i="10" s="1"/>
  <c r="D32" i="10"/>
  <c r="T32" i="10"/>
  <c r="U32" i="10"/>
  <c r="V32" i="10"/>
  <c r="W32" i="10"/>
  <c r="X32" i="10"/>
  <c r="Y32" i="10"/>
  <c r="AA32" i="10"/>
  <c r="A33" i="10"/>
  <c r="D33" i="10"/>
  <c r="I33" i="10"/>
  <c r="T33" i="10"/>
  <c r="U33" i="10"/>
  <c r="V33" i="10"/>
  <c r="W33" i="10"/>
  <c r="X33" i="10"/>
  <c r="Y33" i="10"/>
  <c r="AA33" i="10"/>
  <c r="A34" i="10"/>
  <c r="D34" i="10"/>
  <c r="I34" i="10"/>
  <c r="T34" i="10"/>
  <c r="U34" i="10"/>
  <c r="V34" i="10"/>
  <c r="W34" i="10"/>
  <c r="X34" i="10"/>
  <c r="Y34" i="10"/>
  <c r="AA34" i="10"/>
  <c r="A35" i="10"/>
  <c r="I35" i="10" s="1"/>
  <c r="D35" i="10"/>
  <c r="T35" i="10"/>
  <c r="U35" i="10"/>
  <c r="V35" i="10"/>
  <c r="W35" i="10"/>
  <c r="X35" i="10"/>
  <c r="Y35" i="10"/>
  <c r="AA35" i="10"/>
  <c r="A36" i="10"/>
  <c r="I36" i="10" s="1"/>
  <c r="D36" i="10"/>
  <c r="T36" i="10"/>
  <c r="U36" i="10"/>
  <c r="V36" i="10"/>
  <c r="W36" i="10"/>
  <c r="X36" i="10"/>
  <c r="Y36" i="10"/>
  <c r="AA36" i="10"/>
  <c r="A37" i="10"/>
  <c r="B37" i="10"/>
  <c r="B39" i="10" s="1"/>
  <c r="F37" i="10"/>
  <c r="F27" i="10" s="1"/>
  <c r="H37" i="10"/>
  <c r="H27" i="10" s="1"/>
  <c r="I37" i="10"/>
  <c r="T37" i="10"/>
  <c r="U37" i="10"/>
  <c r="V37" i="10"/>
  <c r="W37" i="10"/>
  <c r="X37" i="10"/>
  <c r="Y37" i="10"/>
  <c r="AA37" i="10"/>
  <c r="A38" i="10"/>
  <c r="D38" i="10" s="1"/>
  <c r="H38" i="10"/>
  <c r="I38" i="10"/>
  <c r="T38" i="10"/>
  <c r="U38" i="10"/>
  <c r="V38" i="10"/>
  <c r="W38" i="10"/>
  <c r="X38" i="10"/>
  <c r="Y38" i="10"/>
  <c r="AA38" i="10"/>
  <c r="A39" i="10"/>
  <c r="D39" i="10" s="1"/>
  <c r="H39" i="10"/>
  <c r="I39" i="10"/>
  <c r="T39" i="10"/>
  <c r="U39" i="10"/>
  <c r="V39" i="10"/>
  <c r="W39" i="10"/>
  <c r="X39" i="10"/>
  <c r="Y39" i="10"/>
  <c r="AA39" i="10"/>
  <c r="A40" i="10"/>
  <c r="D40" i="10" s="1"/>
  <c r="H40" i="10"/>
  <c r="I40" i="10"/>
  <c r="T40" i="10"/>
  <c r="U40" i="10"/>
  <c r="V40" i="10"/>
  <c r="W40" i="10"/>
  <c r="X40" i="10"/>
  <c r="Y40" i="10"/>
  <c r="AA40" i="10"/>
  <c r="A41" i="10"/>
  <c r="D41" i="10" s="1"/>
  <c r="H41" i="10"/>
  <c r="I41" i="10"/>
  <c r="T41" i="10"/>
  <c r="U41" i="10"/>
  <c r="V41" i="10"/>
  <c r="W41" i="10"/>
  <c r="X41" i="10"/>
  <c r="Y41" i="10"/>
  <c r="AA41" i="10"/>
  <c r="A42" i="10"/>
  <c r="D42" i="10" s="1"/>
  <c r="H42" i="10"/>
  <c r="I42" i="10"/>
  <c r="T42" i="10"/>
  <c r="U42" i="10"/>
  <c r="V42" i="10"/>
  <c r="W42" i="10"/>
  <c r="X42" i="10"/>
  <c r="Y42" i="10"/>
  <c r="AA42" i="10"/>
  <c r="A43" i="10"/>
  <c r="D43" i="10" s="1"/>
  <c r="H43" i="10"/>
  <c r="I43" i="10"/>
  <c r="T43" i="10"/>
  <c r="U43" i="10"/>
  <c r="V43" i="10"/>
  <c r="W43" i="10"/>
  <c r="X43" i="10"/>
  <c r="Y43" i="10"/>
  <c r="AA43" i="10"/>
  <c r="A44" i="10"/>
  <c r="D44" i="10" s="1"/>
  <c r="F44" i="10"/>
  <c r="H44" i="10"/>
  <c r="I44" i="10"/>
  <c r="T44" i="10"/>
  <c r="U44" i="10"/>
  <c r="V44" i="10"/>
  <c r="W44" i="10"/>
  <c r="X44" i="10"/>
  <c r="Y44" i="10"/>
  <c r="AA44" i="10"/>
  <c r="A45" i="10"/>
  <c r="D45" i="10" s="1"/>
  <c r="H45" i="10"/>
  <c r="I45" i="10"/>
  <c r="T45" i="10"/>
  <c r="U45" i="10"/>
  <c r="V45" i="10"/>
  <c r="W45" i="10"/>
  <c r="X45" i="10"/>
  <c r="Y45" i="10"/>
  <c r="AA45" i="10"/>
  <c r="A46" i="10"/>
  <c r="D46" i="10" s="1"/>
  <c r="H46" i="10"/>
  <c r="I46" i="10"/>
  <c r="T46" i="10"/>
  <c r="U46" i="10"/>
  <c r="V46" i="10"/>
  <c r="W46" i="10"/>
  <c r="X46" i="10"/>
  <c r="Y46" i="10"/>
  <c r="AA46" i="10"/>
  <c r="A47" i="10"/>
  <c r="D47" i="10" s="1"/>
  <c r="F47" i="10"/>
  <c r="H47" i="10"/>
  <c r="I47" i="10"/>
  <c r="T47" i="10"/>
  <c r="U47" i="10"/>
  <c r="V47" i="10"/>
  <c r="W47" i="10"/>
  <c r="X47" i="10"/>
  <c r="Y47" i="10"/>
  <c r="AA47" i="10"/>
  <c r="J54" i="10"/>
  <c r="J57" i="10"/>
  <c r="J63" i="10"/>
  <c r="J69" i="10"/>
  <c r="J72" i="10"/>
  <c r="K90" i="10"/>
  <c r="F41" i="10" l="1"/>
  <c r="F42" i="10"/>
  <c r="F39" i="10"/>
  <c r="F40" i="10"/>
  <c r="F45" i="10"/>
  <c r="F46" i="10"/>
  <c r="F43" i="10"/>
  <c r="T26" i="10"/>
  <c r="G27" i="10"/>
  <c r="K70" i="10"/>
  <c r="M93" i="10"/>
  <c r="G47" i="10"/>
  <c r="L70" i="10"/>
  <c r="N93" i="10"/>
  <c r="G41" i="10"/>
  <c r="G43" i="10"/>
  <c r="G45" i="10"/>
  <c r="M70" i="10"/>
  <c r="G39" i="10"/>
  <c r="G38" i="10"/>
  <c r="G40" i="10"/>
  <c r="G42" i="10"/>
  <c r="G44" i="10"/>
  <c r="G46" i="10"/>
  <c r="K93" i="10"/>
  <c r="L93" i="10"/>
  <c r="N70" i="10"/>
  <c r="E38" i="10"/>
  <c r="E39" i="10"/>
  <c r="E40" i="10"/>
  <c r="E41" i="10"/>
  <c r="E42" i="10"/>
  <c r="E43" i="10"/>
  <c r="E44" i="10"/>
  <c r="E45" i="10"/>
  <c r="E46" i="10"/>
  <c r="E47" i="10"/>
  <c r="E29" i="10"/>
  <c r="E33" i="10"/>
  <c r="E34" i="10"/>
  <c r="E35" i="10"/>
  <c r="E36" i="10"/>
  <c r="E32" i="10"/>
  <c r="E30" i="10"/>
  <c r="E27" i="10"/>
  <c r="E28" i="10"/>
  <c r="E31" i="10"/>
  <c r="F38" i="10"/>
  <c r="B36" i="10"/>
  <c r="B35" i="10"/>
  <c r="B34" i="10"/>
  <c r="B32" i="10"/>
  <c r="B30" i="10"/>
  <c r="B28" i="10"/>
  <c r="B27" i="10"/>
  <c r="B47" i="10"/>
  <c r="B46" i="10"/>
  <c r="B45" i="10"/>
  <c r="H36" i="10"/>
  <c r="H35" i="10"/>
  <c r="H34" i="10"/>
  <c r="H33" i="10"/>
  <c r="H32" i="10"/>
  <c r="H31" i="10"/>
  <c r="H30" i="10"/>
  <c r="H29" i="10"/>
  <c r="H28" i="10"/>
  <c r="AA26" i="10"/>
  <c r="P26" i="10"/>
  <c r="B33" i="10"/>
  <c r="B44" i="10"/>
  <c r="B43" i="10"/>
  <c r="B42" i="10"/>
  <c r="B38" i="10"/>
  <c r="G36" i="10"/>
  <c r="G35" i="10"/>
  <c r="G34" i="10"/>
  <c r="G33" i="10"/>
  <c r="G32" i="10"/>
  <c r="G31" i="10"/>
  <c r="G30" i="10"/>
  <c r="G29" i="10"/>
  <c r="G28" i="10"/>
  <c r="B31" i="10"/>
  <c r="B29" i="10"/>
  <c r="B41" i="10"/>
  <c r="B40" i="10"/>
  <c r="F36" i="10"/>
  <c r="F35" i="10"/>
  <c r="F34" i="10"/>
  <c r="F33" i="10"/>
  <c r="F32" i="10"/>
  <c r="F31" i="10"/>
  <c r="F30" i="10"/>
  <c r="F29" i="10"/>
  <c r="F28" i="10"/>
  <c r="L26" i="10"/>
  <c r="D12" i="5" l="1"/>
  <c r="D13" i="5" s="1"/>
  <c r="D24" i="5"/>
  <c r="D29" i="5" s="1"/>
  <c r="D93" i="5" s="1"/>
  <c r="D39" i="5"/>
  <c r="D25" i="5" l="1"/>
  <c r="D26" i="5" s="1"/>
  <c r="D27" i="5" s="1"/>
  <c r="D28" i="5" s="1"/>
  <c r="D31" i="5"/>
  <c r="D45" i="5" s="1"/>
  <c r="D48" i="5" s="1"/>
  <c r="D14" i="5"/>
  <c r="D32" i="5" l="1"/>
  <c r="D33" i="5"/>
  <c r="D15" i="5"/>
  <c r="D16" i="5" l="1"/>
  <c r="D35" i="5" s="1"/>
  <c r="D34" i="5"/>
  <c r="D36" i="5" s="1"/>
  <c r="D41" i="5" l="1"/>
  <c r="D40" i="5"/>
  <c r="D92" i="5" l="1"/>
  <c r="D73" i="5"/>
  <c r="D66" i="5"/>
  <c r="D68" i="5" s="1"/>
  <c r="D50" i="5"/>
  <c r="D49" i="5"/>
  <c r="D76" i="5" l="1"/>
  <c r="F92" i="5"/>
  <c r="D102" i="5"/>
  <c r="B9" i="10"/>
  <c r="C37" i="10" s="1"/>
  <c r="D71" i="5"/>
  <c r="D78" i="5" s="1"/>
  <c r="D95" i="5"/>
  <c r="D98" i="5" s="1"/>
  <c r="D70" i="5"/>
  <c r="D77" i="5" s="1"/>
  <c r="C27" i="10" l="1"/>
  <c r="C35" i="10"/>
  <c r="C47" i="10"/>
  <c r="C36" i="10"/>
  <c r="C38" i="10"/>
  <c r="C29" i="10"/>
  <c r="C41" i="10"/>
  <c r="C39" i="10"/>
  <c r="C28" i="10"/>
  <c r="C30" i="10"/>
  <c r="C40" i="10"/>
  <c r="C31" i="10"/>
  <c r="C43" i="10"/>
  <c r="C44" i="10"/>
  <c r="C42" i="10"/>
  <c r="C33" i="10"/>
  <c r="C45" i="10"/>
  <c r="C34" i="10"/>
  <c r="C46" i="10"/>
  <c r="C32" i="10"/>
  <c r="D79" i="5"/>
  <c r="D97" i="5" s="1"/>
  <c r="D99" i="5" s="1"/>
  <c r="D116" i="5" s="1"/>
  <c r="D106" i="5" l="1"/>
  <c r="D108" i="5"/>
  <c r="D109" i="5"/>
  <c r="D110" i="5"/>
  <c r="D103" i="5"/>
  <c r="D111" i="5"/>
  <c r="D104" i="5"/>
  <c r="D112" i="5"/>
  <c r="D105" i="5"/>
  <c r="D107" i="5"/>
  <c r="D114" i="5" l="1"/>
</calcChain>
</file>

<file path=xl/comments1.xml><?xml version="1.0" encoding="utf-8"?>
<comments xmlns="http://schemas.openxmlformats.org/spreadsheetml/2006/main">
  <authors>
    <author>Scott, Jim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Scott, Jim:</t>
        </r>
        <r>
          <rPr>
            <sz val="9"/>
            <color indexed="81"/>
            <rFont val="Tahoma"/>
            <family val="2"/>
          </rPr>
          <t xml:space="preserve">
Assumed these are housed indoors</t>
        </r>
      </text>
    </comment>
    <comment ref="D64" authorId="0">
      <text>
        <r>
          <rPr>
            <b/>
            <sz val="9"/>
            <color indexed="81"/>
            <rFont val="Tahoma"/>
            <family val="2"/>
          </rPr>
          <t>Scott, Jim:</t>
        </r>
        <r>
          <rPr>
            <sz val="9"/>
            <color indexed="81"/>
            <rFont val="Tahoma"/>
            <family val="2"/>
          </rPr>
          <t xml:space="preserve">
Used a non-linear equation here for now</t>
        </r>
      </text>
    </comment>
    <comment ref="D92" authorId="0">
      <text>
        <r>
          <rPr>
            <b/>
            <sz val="9"/>
            <color indexed="81"/>
            <rFont val="Tahoma"/>
            <charset val="1"/>
          </rPr>
          <t>Scott, Jim:</t>
        </r>
        <r>
          <rPr>
            <sz val="9"/>
            <color indexed="81"/>
            <rFont val="Tahoma"/>
            <charset val="1"/>
          </rPr>
          <t xml:space="preserve">
This may be being overwritten by the SA Macro
</t>
        </r>
      </text>
    </comment>
  </commentList>
</comments>
</file>

<file path=xl/sharedStrings.xml><?xml version="1.0" encoding="utf-8"?>
<sst xmlns="http://schemas.openxmlformats.org/spreadsheetml/2006/main" count="240" uniqueCount="150">
  <si>
    <t>Annual Energy Crop Cost</t>
  </si>
  <si>
    <t>Slurry Production per Cow</t>
  </si>
  <si>
    <t>No.</t>
  </si>
  <si>
    <t>%ODM</t>
  </si>
  <si>
    <t>m3/tonne ODM</t>
  </si>
  <si>
    <t>m3/day</t>
  </si>
  <si>
    <t>tonne/day</t>
  </si>
  <si>
    <t>ha</t>
  </si>
  <si>
    <t>tonne/ha/yr</t>
  </si>
  <si>
    <t>tonne/d</t>
  </si>
  <si>
    <t>Total Mass</t>
  </si>
  <si>
    <t>Total Dry Matter</t>
  </si>
  <si>
    <t>Total Organic Dry Matter</t>
  </si>
  <si>
    <t>Total Methane Production</t>
  </si>
  <si>
    <t>%</t>
  </si>
  <si>
    <t>Total Biogas Production</t>
  </si>
  <si>
    <t>Energy Value of Biogas</t>
  </si>
  <si>
    <t>kWth</t>
  </si>
  <si>
    <t>Temperature of Feedstock</t>
  </si>
  <si>
    <t>Temperature of Digester</t>
  </si>
  <si>
    <t>deg.C</t>
  </si>
  <si>
    <t>Heat Input to Feedstock</t>
  </si>
  <si>
    <t>Air Temperature</t>
  </si>
  <si>
    <t>Heat Loss from Digester</t>
  </si>
  <si>
    <t>Total Digester Heat Input</t>
  </si>
  <si>
    <t>Parasitic Heat %</t>
  </si>
  <si>
    <t>Available Heat</t>
  </si>
  <si>
    <t>£</t>
  </si>
  <si>
    <t>£/yr</t>
  </si>
  <si>
    <t>hr/yr</t>
  </si>
  <si>
    <t>Electrical Efficiency of CHP</t>
  </si>
  <si>
    <t>Thermal Efficiency of CHP</t>
  </si>
  <si>
    <t>Electrical Output of CHP</t>
  </si>
  <si>
    <t>Thermal Output of CHP</t>
  </si>
  <si>
    <t>kWe</t>
  </si>
  <si>
    <t>% Dry Matter</t>
  </si>
  <si>
    <t>% Organic Dry Matter</t>
  </si>
  <si>
    <t>Biogas % Methane</t>
  </si>
  <si>
    <t>Dry Matter</t>
  </si>
  <si>
    <t>Organic Dry Matter</t>
  </si>
  <si>
    <t>Methane Production</t>
  </si>
  <si>
    <t>Biogas Production</t>
  </si>
  <si>
    <t>kg/hd/day</t>
  </si>
  <si>
    <t>Mass</t>
  </si>
  <si>
    <t>Crop Yield</t>
  </si>
  <si>
    <t>Cost of Energy Crop</t>
  </si>
  <si>
    <t>£/tonne</t>
  </si>
  <si>
    <t>£/year</t>
  </si>
  <si>
    <t>Operator Rate</t>
  </si>
  <si>
    <t>£/hr</t>
  </si>
  <si>
    <t>Operator Cost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</si>
  <si>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</si>
  <si>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</si>
  <si>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</si>
  <si>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</si>
  <si>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</si>
  <si>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</si>
  <si>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</si>
  <si>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</si>
  <si>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</si>
  <si>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</si>
  <si>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Year 11</t>
  </si>
  <si>
    <t>IRR - %</t>
  </si>
  <si>
    <t>Scenario</t>
  </si>
  <si>
    <t>Revenue Cost</t>
  </si>
  <si>
    <t>Capital Cost</t>
  </si>
  <si>
    <t>Electricity Production</t>
  </si>
  <si>
    <t>Maintenance (Digester)</t>
  </si>
  <si>
    <t>Maintenance (CHP)</t>
  </si>
  <si>
    <t>ECONOMICS</t>
  </si>
  <si>
    <t>Generation Tariff</t>
  </si>
  <si>
    <t>Export Tariff</t>
  </si>
  <si>
    <t>Percentage Exported</t>
  </si>
  <si>
    <t>Value of Displaced Electricity</t>
  </si>
  <si>
    <t>Income from Generation Tariff</t>
  </si>
  <si>
    <t>Income from Export Tariff</t>
  </si>
  <si>
    <t>Electricity Exported</t>
  </si>
  <si>
    <t>Electricity Displaced</t>
  </si>
  <si>
    <t>Total Value of Electricity</t>
  </si>
  <si>
    <t>Net Revenue Benefit</t>
  </si>
  <si>
    <t>Number of Dairy Cows</t>
  </si>
  <si>
    <t>Area of Maize Silage</t>
  </si>
  <si>
    <t>Operator Man Hours</t>
  </si>
  <si>
    <t>Total Revenue Costs</t>
  </si>
  <si>
    <t>CHP Electricity Output</t>
  </si>
  <si>
    <t>CHP Availability</t>
  </si>
  <si>
    <t>kWh/yr</t>
  </si>
  <si>
    <t>10-Year Cash Flow</t>
  </si>
  <si>
    <t>Biological methane potential (BMP)</t>
  </si>
  <si>
    <t>Livestock wastes</t>
  </si>
  <si>
    <t>Crop Feedstock</t>
  </si>
  <si>
    <t>Livestock wastes + crops</t>
  </si>
  <si>
    <t>Electrics and Thermal</t>
  </si>
  <si>
    <t>Digester</t>
  </si>
  <si>
    <t>AD Data Sheet</t>
  </si>
  <si>
    <t>CAPEX</t>
  </si>
  <si>
    <t>ENERGY OUTPUT</t>
  </si>
  <si>
    <t>ENERGY VALUE</t>
  </si>
  <si>
    <t>RETURNS</t>
  </si>
  <si>
    <t>p/kWh</t>
  </si>
  <si>
    <t>Simple Payback period</t>
  </si>
  <si>
    <t>Target payback period</t>
  </si>
  <si>
    <t>red depicts less than the base case and blue more</t>
  </si>
  <si>
    <t>SPB</t>
  </si>
  <si>
    <t>Change (abs.) £,000/pa</t>
  </si>
  <si>
    <t>O&amp;M Cost</t>
  </si>
  <si>
    <t>Change (abs.) £,000s</t>
  </si>
  <si>
    <t>Reciprocating Gas Engine CAPEX</t>
  </si>
  <si>
    <t>Digester CAPEX</t>
  </si>
  <si>
    <t xml:space="preserve">Change (abs.) </t>
  </si>
  <si>
    <t>Engine Electrical Efficiency</t>
  </si>
  <si>
    <t>Change (abs.) p/kWh</t>
  </si>
  <si>
    <t>Electricity price</t>
  </si>
  <si>
    <t>Change (abs.) £/t</t>
  </si>
  <si>
    <t>Sludge Cost</t>
  </si>
  <si>
    <t>Change (abs.) kt/pa</t>
  </si>
  <si>
    <t>Sludge Availability</t>
  </si>
  <si>
    <t>Variable</t>
  </si>
  <si>
    <t>Heat Take-off (%)</t>
  </si>
  <si>
    <t>ROC Price (£/kWhe)</t>
  </si>
  <si>
    <t>Heat Price (£/kWhth)</t>
  </si>
  <si>
    <t>Electricity Price (£/kWhe)</t>
  </si>
  <si>
    <t>Glycerol Price (£/t)</t>
  </si>
  <si>
    <t>Biomass Price (£/t)</t>
  </si>
  <si>
    <t>Pyro-BAF Oil Energy Content (kWh/kg)</t>
  </si>
  <si>
    <t>Pyro-BAF Operating Hours (hrs/pa)</t>
  </si>
  <si>
    <t>Payback years</t>
  </si>
  <si>
    <t>Sensitivity Tables</t>
  </si>
  <si>
    <t>Payback (relative)</t>
  </si>
  <si>
    <t>Payback (yrs)</t>
  </si>
  <si>
    <t>Relative</t>
  </si>
  <si>
    <t>not SA</t>
  </si>
  <si>
    <t>Variable change</t>
  </si>
  <si>
    <t>± Sensitivity range</t>
  </si>
  <si>
    <t>SA Settings</t>
  </si>
  <si>
    <t>replace with rule</t>
  </si>
  <si>
    <t>£000s</t>
  </si>
  <si>
    <t>Electricity Price</t>
  </si>
  <si>
    <t>£/t</t>
  </si>
  <si>
    <t>UOM</t>
  </si>
  <si>
    <t>Value</t>
  </si>
  <si>
    <t>SA Variables</t>
  </si>
  <si>
    <t>Note: ensure that the SA values are the same as on the financial inputs sheet</t>
  </si>
  <si>
    <t>t/ha/yr</t>
  </si>
  <si>
    <t>Original values</t>
  </si>
  <si>
    <t>Anaerobic digestion</t>
  </si>
  <si>
    <t>≤250kW</t>
  </si>
  <si>
    <t>&gt;250kW - 500kW</t>
  </si>
  <si>
    <t>&gt;500kW</t>
  </si>
  <si>
    <t>http://www.fitariffs.co.uk/eligible/levels/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</si>
</sst>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6" formatCode="&quot;£&quot;#,##0;[Red]\-&quot;£&quot;#,##0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#,##0.0"/>
    <numFmt numFmtId="165" formatCode="_-[$€-2]\ * #,##0.00_-;\-[$€-2]\ * #,##0.00_-;_-[$€-2]\ * &quot;-&quot;??_-;_-@_-"/>
    <numFmt numFmtId="166" formatCode="&quot;£&quot;#,##0.000&quot;/kWh&quot;;[Red]\-&quot;£&quot;#,##0.000&quot;/kWh&quot;"/>
    <numFmt numFmtId="167" formatCode="_-&quot;£&quot;* #,##0_-;\-&quot;£&quot;* #,##0_-;_-&quot;£&quot;* &quot;-&quot;??_-;_-@_-"/>
    <numFmt numFmtId="168" formatCode="#,##0.000"/>
    <numFmt numFmtId="169" formatCode="#,##0.0000"/>
  </numFmts>
  <fonts count="32" x14ac:knownFonts="1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1F497D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1F497D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sz val="11"/>
      <color indexed="8"/>
      <name val="Calibri"/>
      <family val="2"/>
    </font>
    <font>
      <u/>
      <sz val="10"/>
      <color theme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9"/>
      <color rgb="FFFFFFFF"/>
      <name val="Arial"/>
      <family val="2"/>
    </font>
    <font>
      <sz val="9"/>
      <color rgb="FF555555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08386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rgb="FF95B3D7"/>
      </bottom>
      <diagonal/>
    </border>
    <border>
      <left/>
      <right/>
      <top/>
      <bottom style="medium">
        <color rgb="FF95B3D7"/>
      </bottom>
      <diagonal/>
    </border>
    <border>
      <left style="medium">
        <color indexed="64"/>
      </left>
      <right/>
      <top/>
      <bottom style="medium">
        <color rgb="FF95B3D7"/>
      </bottom>
      <diagonal/>
    </border>
    <border>
      <left/>
      <right style="medium">
        <color indexed="64"/>
      </right>
      <top style="medium">
        <color indexed="64"/>
      </top>
      <bottom style="medium">
        <color rgb="FF95B3D7"/>
      </bottom>
      <diagonal/>
    </border>
    <border>
      <left/>
      <right/>
      <top style="medium">
        <color indexed="64"/>
      </top>
      <bottom style="medium">
        <color rgb="FF95B3D7"/>
      </bottom>
      <diagonal/>
    </border>
    <border>
      <left style="medium">
        <color indexed="64"/>
      </left>
      <right/>
      <top style="medium">
        <color indexed="64"/>
      </top>
      <bottom style="medium">
        <color rgb="FF95B3D7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</borders>
  <cellStyleXfs count="86">
    <xf numFmtId="0" fontId="0" fillId="0" borderId="0"/>
    <xf numFmtId="0" fontId="11" fillId="5" borderId="3" applyNumberFormat="0" applyAlignment="0" applyProtection="0"/>
    <xf numFmtId="0" fontId="1" fillId="0" borderId="0"/>
    <xf numFmtId="165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8" fillId="0" borderId="0"/>
    <xf numFmtId="165" fontId="9" fillId="0" borderId="2" applyNumberFormat="0" applyFill="0" applyAlignment="0" applyProtection="0"/>
    <xf numFmtId="165" fontId="11" fillId="5" borderId="3" applyNumberFormat="0" applyAlignment="0" applyProtection="0"/>
    <xf numFmtId="165" fontId="8" fillId="0" borderId="0"/>
    <xf numFmtId="165" fontId="12" fillId="6" borderId="3" applyNumberFormat="0" applyAlignment="0" applyProtection="0"/>
    <xf numFmtId="165" fontId="10" fillId="4" borderId="0" applyNumberFormat="0" applyBorder="0" applyAlignment="0" applyProtection="0"/>
    <xf numFmtId="165" fontId="13" fillId="7" borderId="4" applyNumberFormat="0" applyAlignment="0" applyProtection="0"/>
    <xf numFmtId="43" fontId="26" fillId="0" borderId="0" applyFont="0" applyFill="0" applyBorder="0" applyAlignment="0" applyProtection="0"/>
    <xf numFmtId="165" fontId="9" fillId="0" borderId="0" applyNumberFormat="0" applyFill="0" applyBorder="0" applyAlignment="0" applyProtection="0"/>
    <xf numFmtId="165" fontId="27" fillId="0" borderId="0" applyNumberFormat="0" applyFill="0" applyBorder="0" applyAlignment="0" applyProtection="0">
      <alignment vertical="top"/>
      <protection locked="0"/>
    </xf>
    <xf numFmtId="165" fontId="1" fillId="0" borderId="0"/>
    <xf numFmtId="165" fontId="1" fillId="0" borderId="0"/>
    <xf numFmtId="165" fontId="1" fillId="0" borderId="0"/>
    <xf numFmtId="165" fontId="8" fillId="0" borderId="0"/>
    <xf numFmtId="165" fontId="8" fillId="0" borderId="0"/>
    <xf numFmtId="165" fontId="8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1" fillId="0" borderId="0"/>
    <xf numFmtId="165" fontId="1" fillId="0" borderId="0"/>
    <xf numFmtId="165" fontId="8" fillId="0" borderId="0"/>
    <xf numFmtId="165" fontId="1" fillId="0" borderId="0"/>
    <xf numFmtId="165" fontId="8" fillId="0" borderId="0"/>
    <xf numFmtId="165" fontId="1" fillId="0" borderId="0"/>
    <xf numFmtId="165" fontId="1" fillId="0" borderId="0"/>
    <xf numFmtId="9" fontId="8" fillId="0" borderId="0" applyFont="0" applyFill="0" applyBorder="0" applyAlignment="0" applyProtection="0"/>
    <xf numFmtId="165" fontId="15" fillId="0" borderId="5" applyNumberFormat="0" applyFill="0" applyAlignment="0" applyProtection="0"/>
    <xf numFmtId="0" fontId="27" fillId="0" borderId="0" applyNumberFormat="0" applyFill="0" applyBorder="0" applyAlignment="0" applyProtection="0"/>
  </cellStyleXfs>
  <cellXfs count="132">
    <xf numFmtId="0" fontId="0" fillId="0" borderId="0" xfId="0"/>
    <xf numFmtId="3" fontId="3" fillId="0" borderId="0" xfId="0" applyNumberFormat="1" applyFont="1"/>
    <xf numFmtId="3" fontId="4" fillId="0" borderId="0" xfId="0" applyNumberFormat="1" applyFont="1"/>
    <xf numFmtId="3" fontId="3" fillId="0" borderId="0" xfId="0" applyNumberFormat="1" applyFont="1" applyBorder="1"/>
    <xf numFmtId="3" fontId="4" fillId="0" borderId="0" xfId="0" applyNumberFormat="1" applyFont="1" applyBorder="1"/>
    <xf numFmtId="164" fontId="4" fillId="0" borderId="0" xfId="0" applyNumberFormat="1" applyFont="1" applyBorder="1"/>
    <xf numFmtId="3" fontId="5" fillId="0" borderId="0" xfId="0" applyNumberFormat="1" applyFont="1" applyBorder="1"/>
    <xf numFmtId="3" fontId="3" fillId="2" borderId="0" xfId="0" applyNumberFormat="1" applyFont="1" applyFill="1"/>
    <xf numFmtId="3" fontId="3" fillId="2" borderId="1" xfId="0" applyNumberFormat="1" applyFont="1" applyFill="1" applyBorder="1"/>
    <xf numFmtId="3" fontId="4" fillId="2" borderId="1" xfId="0" applyNumberFormat="1" applyFont="1" applyFill="1" applyBorder="1" applyAlignment="1">
      <alignment horizontal="right"/>
    </xf>
    <xf numFmtId="3" fontId="3" fillId="0" borderId="1" xfId="0" applyNumberFormat="1" applyFont="1" applyBorder="1"/>
    <xf numFmtId="3" fontId="4" fillId="0" borderId="1" xfId="0" applyNumberFormat="1" applyFont="1" applyBorder="1"/>
    <xf numFmtId="3" fontId="3" fillId="3" borderId="1" xfId="0" applyNumberFormat="1" applyFont="1" applyFill="1" applyBorder="1"/>
    <xf numFmtId="3" fontId="4" fillId="3" borderId="1" xfId="0" applyNumberFormat="1" applyFont="1" applyFill="1" applyBorder="1"/>
    <xf numFmtId="164" fontId="4" fillId="0" borderId="1" xfId="0" applyNumberFormat="1" applyFont="1" applyBorder="1"/>
    <xf numFmtId="164" fontId="3" fillId="0" borderId="1" xfId="0" applyNumberFormat="1" applyFont="1" applyBorder="1"/>
    <xf numFmtId="0" fontId="3" fillId="0" borderId="1" xfId="0" applyFont="1" applyBorder="1"/>
    <xf numFmtId="3" fontId="3" fillId="2" borderId="0" xfId="0" applyNumberFormat="1" applyFont="1" applyFill="1" applyBorder="1"/>
    <xf numFmtId="3" fontId="3" fillId="2" borderId="0" xfId="0" applyNumberFormat="1" applyFont="1" applyFill="1" applyBorder="1" applyAlignment="1">
      <alignment horizontal="right"/>
    </xf>
    <xf numFmtId="3" fontId="3" fillId="3" borderId="0" xfId="0" applyNumberFormat="1" applyFont="1" applyFill="1" applyBorder="1"/>
    <xf numFmtId="4" fontId="4" fillId="0" borderId="0" xfId="0" applyNumberFormat="1" applyFont="1" applyBorder="1"/>
    <xf numFmtId="0" fontId="1" fillId="0" borderId="0" xfId="2"/>
    <xf numFmtId="0" fontId="16" fillId="0" borderId="6" xfId="2" applyFont="1" applyFill="1" applyBorder="1" applyAlignment="1">
      <alignment vertical="center"/>
    </xf>
    <xf numFmtId="2" fontId="17" fillId="0" borderId="7" xfId="3" applyNumberFormat="1" applyFont="1" applyBorder="1"/>
    <xf numFmtId="2" fontId="17" fillId="0" borderId="8" xfId="3" applyNumberFormat="1" applyFont="1" applyBorder="1"/>
    <xf numFmtId="0" fontId="18" fillId="0" borderId="9" xfId="2" applyFont="1" applyBorder="1" applyAlignment="1">
      <alignment horizontal="right" vertical="center"/>
    </xf>
    <xf numFmtId="0" fontId="19" fillId="0" borderId="10" xfId="2" applyNumberFormat="1" applyFont="1" applyBorder="1" applyAlignment="1">
      <alignment vertical="center"/>
    </xf>
    <xf numFmtId="0" fontId="19" fillId="0" borderId="0" xfId="2" applyNumberFormat="1" applyFont="1" applyBorder="1" applyAlignment="1">
      <alignment vertical="center"/>
    </xf>
    <xf numFmtId="2" fontId="14" fillId="0" borderId="0" xfId="4" applyNumberFormat="1" applyFont="1" applyBorder="1"/>
    <xf numFmtId="0" fontId="16" fillId="0" borderId="6" xfId="2" applyFont="1" applyBorder="1" applyAlignment="1">
      <alignment vertical="center"/>
    </xf>
    <xf numFmtId="9" fontId="19" fillId="8" borderId="10" xfId="2" applyNumberFormat="1" applyFont="1" applyFill="1" applyBorder="1" applyAlignment="1">
      <alignment vertical="center"/>
    </xf>
    <xf numFmtId="9" fontId="19" fillId="8" borderId="0" xfId="2" applyNumberFormat="1" applyFont="1" applyFill="1" applyBorder="1" applyAlignment="1">
      <alignment vertical="center"/>
    </xf>
    <xf numFmtId="9" fontId="20" fillId="8" borderId="0" xfId="2" applyNumberFormat="1" applyFont="1" applyFill="1" applyBorder="1" applyAlignment="1">
      <alignment vertical="center" wrapText="1"/>
    </xf>
    <xf numFmtId="9" fontId="20" fillId="8" borderId="0" xfId="2" applyNumberFormat="1" applyFont="1" applyFill="1" applyBorder="1" applyAlignment="1">
      <alignment vertical="center"/>
    </xf>
    <xf numFmtId="165" fontId="18" fillId="8" borderId="6" xfId="2" applyNumberFormat="1" applyFont="1" applyFill="1" applyBorder="1" applyAlignment="1">
      <alignment vertical="center"/>
    </xf>
    <xf numFmtId="2" fontId="17" fillId="0" borderId="10" xfId="3" applyNumberFormat="1" applyFont="1" applyBorder="1"/>
    <xf numFmtId="2" fontId="17" fillId="0" borderId="0" xfId="3" applyNumberFormat="1" applyFont="1" applyBorder="1"/>
    <xf numFmtId="0" fontId="18" fillId="0" borderId="6" xfId="2" applyFont="1" applyBorder="1" applyAlignment="1">
      <alignment horizontal="right" vertical="center"/>
    </xf>
    <xf numFmtId="165" fontId="15" fillId="8" borderId="6" xfId="2" applyNumberFormat="1" applyFont="1" applyFill="1" applyBorder="1"/>
    <xf numFmtId="0" fontId="20" fillId="0" borderId="0" xfId="2" applyNumberFormat="1" applyFont="1" applyBorder="1" applyAlignment="1">
      <alignment vertical="center" wrapText="1"/>
    </xf>
    <xf numFmtId="0" fontId="20" fillId="0" borderId="0" xfId="2" applyNumberFormat="1" applyFont="1" applyBorder="1" applyAlignment="1">
      <alignment vertical="center"/>
    </xf>
    <xf numFmtId="9" fontId="19" fillId="0" borderId="10" xfId="5" applyFont="1" applyBorder="1" applyAlignment="1">
      <alignment vertical="center"/>
    </xf>
    <xf numFmtId="9" fontId="19" fillId="0" borderId="0" xfId="5" applyFont="1" applyBorder="1" applyAlignment="1">
      <alignment vertical="center"/>
    </xf>
    <xf numFmtId="9" fontId="20" fillId="0" borderId="0" xfId="5" applyFont="1" applyBorder="1"/>
    <xf numFmtId="9" fontId="19" fillId="8" borderId="0" xfId="2" applyNumberFormat="1" applyFont="1" applyFill="1" applyBorder="1" applyAlignment="1">
      <alignment vertical="center" wrapText="1"/>
    </xf>
    <xf numFmtId="165" fontId="17" fillId="8" borderId="6" xfId="2" applyNumberFormat="1" applyFont="1" applyFill="1" applyBorder="1"/>
    <xf numFmtId="2" fontId="18" fillId="0" borderId="10" xfId="2" applyNumberFormat="1" applyFont="1" applyBorder="1" applyAlignment="1">
      <alignment horizontal="right" vertical="center"/>
    </xf>
    <xf numFmtId="2" fontId="18" fillId="0" borderId="0" xfId="2" applyNumberFormat="1" applyFont="1" applyBorder="1" applyAlignment="1">
      <alignment horizontal="right" vertical="center"/>
    </xf>
    <xf numFmtId="0" fontId="20" fillId="0" borderId="0" xfId="2" applyFont="1" applyBorder="1"/>
    <xf numFmtId="0" fontId="17" fillId="8" borderId="6" xfId="2" applyFont="1" applyFill="1" applyBorder="1"/>
    <xf numFmtId="0" fontId="20" fillId="0" borderId="10" xfId="2" applyNumberFormat="1" applyFont="1" applyBorder="1" applyAlignment="1">
      <alignment vertical="center"/>
    </xf>
    <xf numFmtId="0" fontId="18" fillId="8" borderId="6" xfId="2" applyFont="1" applyFill="1" applyBorder="1" applyAlignment="1">
      <alignment vertical="center"/>
    </xf>
    <xf numFmtId="0" fontId="19" fillId="0" borderId="0" xfId="2" applyNumberFormat="1" applyFont="1" applyBorder="1" applyAlignment="1">
      <alignment vertical="center" wrapText="1"/>
    </xf>
    <xf numFmtId="9" fontId="19" fillId="0" borderId="11" xfId="2" applyNumberFormat="1" applyFont="1" applyBorder="1" applyAlignment="1">
      <alignment vertical="center"/>
    </xf>
    <xf numFmtId="9" fontId="19" fillId="0" borderId="12" xfId="2" applyNumberFormat="1" applyFont="1" applyBorder="1" applyAlignment="1">
      <alignment vertical="center" wrapText="1"/>
    </xf>
    <xf numFmtId="0" fontId="19" fillId="0" borderId="12" xfId="2" applyFont="1" applyBorder="1" applyAlignment="1">
      <alignment vertical="center"/>
    </xf>
    <xf numFmtId="0" fontId="19" fillId="0" borderId="13" xfId="2" applyFont="1" applyBorder="1" applyAlignment="1">
      <alignment vertical="center"/>
    </xf>
    <xf numFmtId="165" fontId="8" fillId="0" borderId="0" xfId="6"/>
    <xf numFmtId="2" fontId="21" fillId="0" borderId="0" xfId="3" applyNumberFormat="1" applyFont="1"/>
    <xf numFmtId="0" fontId="16" fillId="0" borderId="9" xfId="2" applyFont="1" applyBorder="1" applyAlignment="1">
      <alignment vertical="center"/>
    </xf>
    <xf numFmtId="9" fontId="21" fillId="0" borderId="10" xfId="5" applyFont="1" applyBorder="1"/>
    <xf numFmtId="9" fontId="21" fillId="0" borderId="0" xfId="5" applyFont="1" applyBorder="1"/>
    <xf numFmtId="9" fontId="19" fillId="0" borderId="10" xfId="2" applyNumberFormat="1" applyFont="1" applyBorder="1" applyAlignment="1">
      <alignment vertical="center"/>
    </xf>
    <xf numFmtId="9" fontId="19" fillId="0" borderId="0" xfId="2" applyNumberFormat="1" applyFont="1" applyBorder="1" applyAlignment="1">
      <alignment vertical="center"/>
    </xf>
    <xf numFmtId="9" fontId="19" fillId="0" borderId="0" xfId="2" applyNumberFormat="1" applyFont="1" applyBorder="1" applyAlignment="1">
      <alignment vertical="center" wrapText="1"/>
    </xf>
    <xf numFmtId="165" fontId="17" fillId="0" borderId="6" xfId="2" applyNumberFormat="1" applyFont="1" applyBorder="1"/>
    <xf numFmtId="2" fontId="21" fillId="0" borderId="0" xfId="4" applyNumberFormat="1" applyFont="1"/>
    <xf numFmtId="165" fontId="15" fillId="0" borderId="0" xfId="2" applyNumberFormat="1" applyFont="1"/>
    <xf numFmtId="2" fontId="16" fillId="0" borderId="10" xfId="2" applyNumberFormat="1" applyFont="1" applyBorder="1" applyAlignment="1">
      <alignment horizontal="right" vertical="center"/>
    </xf>
    <xf numFmtId="2" fontId="16" fillId="0" borderId="0" xfId="2" applyNumberFormat="1" applyFont="1" applyBorder="1" applyAlignment="1">
      <alignment horizontal="right" vertical="center"/>
    </xf>
    <xf numFmtId="2" fontId="22" fillId="0" borderId="0" xfId="3" applyNumberFormat="1" applyFont="1" applyBorder="1" applyAlignment="1">
      <alignment horizontal="right" vertical="center"/>
    </xf>
    <xf numFmtId="2" fontId="22" fillId="0" borderId="0" xfId="3" applyNumberFormat="1" applyFont="1" applyBorder="1" applyAlignment="1">
      <alignment horizontal="right" vertical="center" wrapText="1"/>
    </xf>
    <xf numFmtId="165" fontId="22" fillId="0" borderId="0" xfId="3" applyFont="1" applyBorder="1" applyAlignment="1">
      <alignment vertical="center"/>
    </xf>
    <xf numFmtId="0" fontId="21" fillId="0" borderId="10" xfId="2" applyFont="1" applyBorder="1"/>
    <xf numFmtId="0" fontId="21" fillId="0" borderId="0" xfId="2" applyFont="1" applyBorder="1"/>
    <xf numFmtId="0" fontId="17" fillId="0" borderId="6" xfId="2" applyFont="1" applyBorder="1"/>
    <xf numFmtId="0" fontId="8" fillId="0" borderId="0" xfId="6" applyNumberFormat="1"/>
    <xf numFmtId="165" fontId="18" fillId="0" borderId="6" xfId="2" applyNumberFormat="1" applyFont="1" applyBorder="1" applyAlignment="1">
      <alignment vertical="center"/>
    </xf>
    <xf numFmtId="2" fontId="22" fillId="0" borderId="7" xfId="3" applyNumberFormat="1" applyFont="1" applyBorder="1" applyAlignment="1">
      <alignment horizontal="right" vertical="center"/>
    </xf>
    <xf numFmtId="2" fontId="22" fillId="0" borderId="8" xfId="3" applyNumberFormat="1" applyFont="1" applyBorder="1" applyAlignment="1">
      <alignment horizontal="right" vertical="center" wrapText="1"/>
    </xf>
    <xf numFmtId="165" fontId="22" fillId="0" borderId="9" xfId="3" applyFont="1" applyBorder="1" applyAlignment="1">
      <alignment vertical="center"/>
    </xf>
    <xf numFmtId="6" fontId="19" fillId="0" borderId="10" xfId="2" applyNumberFormat="1" applyFont="1" applyBorder="1" applyAlignment="1">
      <alignment vertical="center"/>
    </xf>
    <xf numFmtId="6" fontId="19" fillId="0" borderId="0" xfId="2" applyNumberFormat="1" applyFont="1" applyBorder="1" applyAlignment="1">
      <alignment vertical="center"/>
    </xf>
    <xf numFmtId="6" fontId="19" fillId="0" borderId="0" xfId="2" applyNumberFormat="1" applyFont="1" applyBorder="1" applyAlignment="1">
      <alignment vertical="center" wrapText="1"/>
    </xf>
    <xf numFmtId="2" fontId="22" fillId="0" borderId="10" xfId="3" applyNumberFormat="1" applyFont="1" applyBorder="1" applyAlignment="1">
      <alignment horizontal="right" vertical="center"/>
    </xf>
    <xf numFmtId="2" fontId="22" fillId="0" borderId="0" xfId="3" applyNumberFormat="1" applyFont="1" applyAlignment="1">
      <alignment horizontal="right" vertical="center" wrapText="1"/>
    </xf>
    <xf numFmtId="165" fontId="22" fillId="0" borderId="6" xfId="3" applyFont="1" applyBorder="1" applyAlignment="1">
      <alignment vertical="center"/>
    </xf>
    <xf numFmtId="0" fontId="18" fillId="0" borderId="6" xfId="2" applyFont="1" applyBorder="1" applyAlignment="1">
      <alignment vertical="center"/>
    </xf>
    <xf numFmtId="9" fontId="23" fillId="0" borderId="14" xfId="3" applyNumberFormat="1" applyFont="1" applyBorder="1" applyAlignment="1">
      <alignment vertical="center"/>
    </xf>
    <xf numFmtId="9" fontId="23" fillId="0" borderId="15" xfId="3" applyNumberFormat="1" applyFont="1" applyBorder="1" applyAlignment="1">
      <alignment vertical="center" wrapText="1"/>
    </xf>
    <xf numFmtId="165" fontId="23" fillId="0" borderId="16" xfId="3" applyFont="1" applyBorder="1" applyAlignment="1">
      <alignment vertical="center"/>
    </xf>
    <xf numFmtId="165" fontId="23" fillId="0" borderId="19" xfId="3" applyFont="1" applyBorder="1" applyAlignment="1">
      <alignment vertical="center"/>
    </xf>
    <xf numFmtId="165" fontId="1" fillId="0" borderId="0" xfId="3"/>
    <xf numFmtId="10" fontId="21" fillId="0" borderId="0" xfId="5" applyNumberFormat="1" applyFont="1"/>
    <xf numFmtId="9" fontId="17" fillId="0" borderId="0" xfId="3" applyNumberFormat="1" applyFont="1"/>
    <xf numFmtId="165" fontId="17" fillId="0" borderId="0" xfId="3" applyFont="1"/>
    <xf numFmtId="2" fontId="17" fillId="0" borderId="0" xfId="3" applyNumberFormat="1" applyFont="1"/>
    <xf numFmtId="166" fontId="17" fillId="0" borderId="0" xfId="3" applyNumberFormat="1" applyFont="1"/>
    <xf numFmtId="10" fontId="17" fillId="0" borderId="0" xfId="5" applyNumberFormat="1" applyFont="1"/>
    <xf numFmtId="44" fontId="17" fillId="0" borderId="0" xfId="4" applyNumberFormat="1" applyFont="1"/>
    <xf numFmtId="0" fontId="17" fillId="0" borderId="0" xfId="4" applyNumberFormat="1" applyFont="1"/>
    <xf numFmtId="167" fontId="17" fillId="0" borderId="0" xfId="4" applyNumberFormat="1" applyFont="1"/>
    <xf numFmtId="165" fontId="21" fillId="0" borderId="0" xfId="3" applyFont="1"/>
    <xf numFmtId="165" fontId="20" fillId="0" borderId="0" xfId="3" applyFont="1"/>
    <xf numFmtId="165" fontId="15" fillId="0" borderId="0" xfId="3" applyFont="1"/>
    <xf numFmtId="9" fontId="21" fillId="0" borderId="0" xfId="5" applyFont="1"/>
    <xf numFmtId="165" fontId="24" fillId="0" borderId="0" xfId="3" applyFont="1"/>
    <xf numFmtId="165" fontId="17" fillId="0" borderId="2" xfId="7" applyFont="1"/>
    <xf numFmtId="166" fontId="21" fillId="0" borderId="0" xfId="3" applyNumberFormat="1" applyFont="1"/>
    <xf numFmtId="165" fontId="17" fillId="0" borderId="0" xfId="7" applyFont="1" applyBorder="1"/>
    <xf numFmtId="9" fontId="11" fillId="5" borderId="3" xfId="8" applyNumberFormat="1"/>
    <xf numFmtId="0" fontId="21" fillId="0" borderId="0" xfId="3" applyNumberFormat="1" applyFont="1"/>
    <xf numFmtId="165" fontId="8" fillId="0" borderId="0" xfId="9"/>
    <xf numFmtId="165" fontId="0" fillId="0" borderId="0" xfId="3" applyFont="1"/>
    <xf numFmtId="44" fontId="12" fillId="6" borderId="3" xfId="10" applyNumberFormat="1"/>
    <xf numFmtId="6" fontId="11" fillId="5" borderId="3" xfId="1" applyNumberFormat="1"/>
    <xf numFmtId="44" fontId="11" fillId="5" borderId="3" xfId="4" applyFont="1" applyFill="1" applyBorder="1"/>
    <xf numFmtId="0" fontId="11" fillId="5" borderId="3" xfId="4" applyNumberFormat="1" applyFont="1" applyFill="1" applyBorder="1"/>
    <xf numFmtId="168" fontId="3" fillId="0" borderId="0" xfId="0" applyNumberFormat="1" applyFont="1" applyBorder="1"/>
    <xf numFmtId="3" fontId="3" fillId="0" borderId="0" xfId="0" applyNumberFormat="1" applyFont="1"/>
    <xf numFmtId="3" fontId="3" fillId="0" borderId="0" xfId="0" applyNumberFormat="1" applyFont="1" applyBorder="1"/>
    <xf numFmtId="3" fontId="3" fillId="3" borderId="0" xfId="0" applyNumberFormat="1" applyFont="1" applyFill="1" applyBorder="1"/>
    <xf numFmtId="165" fontId="17" fillId="0" borderId="0" xfId="3" applyFont="1" applyAlignment="1">
      <alignment wrapText="1"/>
    </xf>
    <xf numFmtId="165" fontId="1" fillId="0" borderId="0" xfId="3" applyAlignment="1">
      <alignment wrapText="1"/>
    </xf>
    <xf numFmtId="0" fontId="1" fillId="0" borderId="0" xfId="2" applyAlignment="1">
      <alignment wrapText="1"/>
    </xf>
    <xf numFmtId="0" fontId="30" fillId="10" borderId="20" xfId="0" applyFont="1" applyFill="1" applyBorder="1" applyAlignment="1">
      <alignment horizontal="center" vertical="center" wrapText="1"/>
    </xf>
    <xf numFmtId="0" fontId="31" fillId="9" borderId="20" xfId="0" applyFont="1" applyFill="1" applyBorder="1" applyAlignment="1">
      <alignment horizontal="center" vertical="center" wrapText="1"/>
    </xf>
    <xf numFmtId="169" fontId="3" fillId="0" borderId="0" xfId="0" applyNumberFormat="1" applyFont="1"/>
    <xf numFmtId="0" fontId="27" fillId="0" borderId="0" xfId="85"/>
    <xf numFmtId="165" fontId="21" fillId="0" borderId="0" xfId="3" applyFont="1" applyAlignment="1">
      <alignment horizontal="center"/>
    </xf>
    <xf numFmtId="165" fontId="23" fillId="0" borderId="18" xfId="3" applyFont="1" applyBorder="1" applyAlignment="1">
      <alignment vertical="center" wrapText="1"/>
    </xf>
    <xf numFmtId="165" fontId="23" fillId="0" borderId="17" xfId="3" applyFont="1" applyBorder="1" applyAlignment="1">
      <alignment vertical="center" wrapText="1"/>
    </xf>
  </cellXfs>
  <cellStyles count="86">
    <cellStyle name="Bad 2" xfId="11"/>
    <cellStyle name="Calculation 2" xfId="10"/>
    <cellStyle name="Check Cell 2" xfId="12"/>
    <cellStyle name="Comma 2" xfId="13"/>
    <cellStyle name="Currency 2" xfId="4"/>
    <cellStyle name="Heading 3 2" xfId="7"/>
    <cellStyle name="Heading 4 2" xfId="14"/>
    <cellStyle name="Hyperlink" xfId="85" builtinId="8"/>
    <cellStyle name="Hyperlink 2" xfId="15"/>
    <cellStyle name="Input" xfId="1" builtinId="20"/>
    <cellStyle name="Input 2" xfId="8"/>
    <cellStyle name="Normal" xfId="0" builtinId="0"/>
    <cellStyle name="Normal 10" xfId="16"/>
    <cellStyle name="Normal 10 2" xfId="17"/>
    <cellStyle name="Normal 11" xfId="18"/>
    <cellStyle name="Normal 12" xfId="19"/>
    <cellStyle name="Normal 13" xfId="9"/>
    <cellStyle name="Normal 13 2" xfId="20"/>
    <cellStyle name="Normal 14" xfId="21"/>
    <cellStyle name="Normal 15" xfId="3"/>
    <cellStyle name="Normal 2" xfId="2"/>
    <cellStyle name="Normal 3" xfId="22"/>
    <cellStyle name="Normal 3 2" xfId="23"/>
    <cellStyle name="Normal 3 2 2" xfId="24"/>
    <cellStyle name="Normal 3 2 2 2" xfId="25"/>
    <cellStyle name="Normal 3 2 2 2 2" xfId="26"/>
    <cellStyle name="Normal 3 2 2 2 3" xfId="27"/>
    <cellStyle name="Normal 3 2 2 2 3 2" xfId="28"/>
    <cellStyle name="Normal 3 2 2 2 3 3" xfId="29"/>
    <cellStyle name="Normal 3 2 2 2 3 3 2" xfId="30"/>
    <cellStyle name="Normal 3 2 2 2 3 3 2 2" xfId="31"/>
    <cellStyle name="Normal 3 2 2 2 3 3 2 2 2" xfId="32"/>
    <cellStyle name="Normal 3 2 2 2 3 3 2 2 3" xfId="33"/>
    <cellStyle name="Normal 3 2 2 2 3 3 2 2 3 2" xfId="34"/>
    <cellStyle name="Normal 3 2 2 2 3 3 2 3" xfId="35"/>
    <cellStyle name="Normal 3 2 2 2 3 4" xfId="36"/>
    <cellStyle name="Normal 3 2 2 2 3 4 2" xfId="37"/>
    <cellStyle name="Normal 3 2 2 2 3 4 2 2" xfId="38"/>
    <cellStyle name="Normal 3 2 2 2 3 4 2 3" xfId="39"/>
    <cellStyle name="Normal 3 2 2 2 3 4 2 3 2" xfId="40"/>
    <cellStyle name="Normal 3 2 2 2 3 4 2 3 3" xfId="41"/>
    <cellStyle name="Normal 3 2 2 2 3 4 2 3 3 2" xfId="42"/>
    <cellStyle name="Normal 3 2 2 2 3 4 2 3 3 3" xfId="43"/>
    <cellStyle name="Normal 3 2 2 2 3 4 2 3 4" xfId="44"/>
    <cellStyle name="Normal 3 2 2 2 3 4 2 3 4 2" xfId="45"/>
    <cellStyle name="Normal 3 2 2 2 3 4 2 3 4 3" xfId="46"/>
    <cellStyle name="Normal 3 2 2 2 3 4 2 3 4 3 2" xfId="47"/>
    <cellStyle name="Normal 3 2 2 2 3 4 2 4" xfId="48"/>
    <cellStyle name="Normal 3 2 2 2 3 4 2 5" xfId="49"/>
    <cellStyle name="Normal 3 2 2 2 3 4 3" xfId="50"/>
    <cellStyle name="Normal 3 2 2 2 3 5" xfId="51"/>
    <cellStyle name="Normal 3 2 2 2 3 5 2" xfId="52"/>
    <cellStyle name="Normal 3 2 2 2 3 5 2 2" xfId="53"/>
    <cellStyle name="Normal 3 2 2 2 3 5 3" xfId="54"/>
    <cellStyle name="Normal 3 2 2 2 3 6" xfId="55"/>
    <cellStyle name="Normal 3 2 2 2 4" xfId="56"/>
    <cellStyle name="Normal 3 2 2 2 4 2" xfId="57"/>
    <cellStyle name="Normal 3 2 2 2 4 3" xfId="58"/>
    <cellStyle name="Normal 3 2 2 2 4 4" xfId="59"/>
    <cellStyle name="Normal 3 2 2 2 4 4 2" xfId="60"/>
    <cellStyle name="Normal 3 2 2 2 4 4 3" xfId="61"/>
    <cellStyle name="Normal 3 2 2 2 4 4 3 2" xfId="62"/>
    <cellStyle name="Normal 3 2 2 2 4 4 3 3" xfId="63"/>
    <cellStyle name="Normal 3 2 2 2 4 5" xfId="64"/>
    <cellStyle name="Normal 3 2 2 2 4 6" xfId="65"/>
    <cellStyle name="Normal 3 2 2 2 4 6 2" xfId="66"/>
    <cellStyle name="Normal 3 2 2 2 4 7" xfId="67"/>
    <cellStyle name="Normal 3 2 2 2 4 7 2" xfId="68"/>
    <cellStyle name="Normal 3 2 2 2 4 7 3" xfId="69"/>
    <cellStyle name="Normal 3 2 2 2 4 7 3 2" xfId="70"/>
    <cellStyle name="Normal 3 3" xfId="71"/>
    <cellStyle name="Normal 3 3 2" xfId="72"/>
    <cellStyle name="Normal 3 4" xfId="73"/>
    <cellStyle name="Normal 3 5" xfId="74"/>
    <cellStyle name="Normal 3 5 2" xfId="75"/>
    <cellStyle name="Normal 4" xfId="76"/>
    <cellStyle name="Normal 5" xfId="77"/>
    <cellStyle name="Normal 5 2" xfId="78"/>
    <cellStyle name="Normal 6" xfId="79"/>
    <cellStyle name="Normal 7" xfId="6"/>
    <cellStyle name="Normal 7 2" xfId="80"/>
    <cellStyle name="Normal 8" xfId="81"/>
    <cellStyle name="Normal 9" xfId="82"/>
    <cellStyle name="Percent 2" xfId="5"/>
    <cellStyle name="Percent 3" xfId="83"/>
    <cellStyle name="Total 2" xfId="84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822955280943439E-2"/>
          <c:y val="3.4056808849814019E-2"/>
          <c:w val="0.87578591194894828"/>
          <c:h val="0.7703357347913228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'Sensitivity Analysis'!$T$26</c:f>
              <c:strCache>
                <c:ptCount val="1"/>
                <c:pt idx="0">
                  <c:v> Crop Yield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Analysis'!$T$27:$T$47</c:f>
              <c:numCache>
                <c:formatCode>0.00%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'Sensitivity Analysis'!$U$26</c:f>
              <c:strCache>
                <c:ptCount val="1"/>
                <c:pt idx="0">
                  <c:v> Digester CAPEX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Analysis'!$U$27:$U$47</c:f>
              <c:numCache>
                <c:formatCode>0.00%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'Sensitivity Analysis'!$W$26</c:f>
              <c:strCache>
                <c:ptCount val="1"/>
                <c:pt idx="0">
                  <c:v> O&amp;M Cost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Analysis'!$W$27:$W$47</c:f>
              <c:numCache>
                <c:formatCode>0.00%</c:formatCode>
                <c:ptCount val="21"/>
                <c:pt idx="0">
                  <c:v>-1.5734360573341851E-6</c:v>
                </c:pt>
                <c:pt idx="1">
                  <c:v>-1.4160929723494502E-6</c:v>
                </c:pt>
                <c:pt idx="2">
                  <c:v>-1.2587498376237095E-6</c:v>
                </c:pt>
                <c:pt idx="3">
                  <c:v>-1.1014066536976259E-6</c:v>
                </c:pt>
                <c:pt idx="4">
                  <c:v>-9.4406342021075754E-7</c:v>
                </c:pt>
                <c:pt idx="5">
                  <c:v>-7.8672013716310404E-7</c:v>
                </c:pt>
                <c:pt idx="6">
                  <c:v>-6.2937680455466575E-7</c:v>
                </c:pt>
                <c:pt idx="7">
                  <c:v>-4.720334223854425E-7</c:v>
                </c:pt>
                <c:pt idx="8">
                  <c:v>-3.1468999083565532E-7</c:v>
                </c:pt>
                <c:pt idx="9">
                  <c:v>-1.5734650972508329E-7</c:v>
                </c:pt>
                <c:pt idx="10">
                  <c:v>0</c:v>
                </c:pt>
                <c:pt idx="11">
                  <c:v>1.5734060099819456E-7</c:v>
                </c:pt>
                <c:pt idx="12">
                  <c:v>3.1468423079112142E-7</c:v>
                </c:pt>
                <c:pt idx="13">
                  <c:v>4.7202790996461209E-7</c:v>
                </c:pt>
                <c:pt idx="14">
                  <c:v>6.2937163851866664E-7</c:v>
                </c:pt>
                <c:pt idx="15">
                  <c:v>7.8671541681372723E-7</c:v>
                </c:pt>
                <c:pt idx="16">
                  <c:v>9.4405924448935164E-7</c:v>
                </c:pt>
                <c:pt idx="17">
                  <c:v>1.1014031217257611E-6</c:v>
                </c:pt>
                <c:pt idx="18">
                  <c:v>1.2587470485229553E-6</c:v>
                </c:pt>
                <c:pt idx="19">
                  <c:v>1.4160910247007134E-6</c:v>
                </c:pt>
                <c:pt idx="20">
                  <c:v>1.5734350504392566E-6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'Sensitivity Analysis'!$X$26</c:f>
              <c:strCache>
                <c:ptCount val="1"/>
                <c:pt idx="0">
                  <c:v> Electricity Price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Analysis'!$X$27:$X$47</c:f>
              <c:numCache>
                <c:formatCode>0.00%</c:formatCode>
                <c:ptCount val="21"/>
                <c:pt idx="0">
                  <c:v>1.4245913771367804E-2</c:v>
                </c:pt>
                <c:pt idx="1">
                  <c:v>1.280308323225764E-2</c:v>
                </c:pt>
                <c:pt idx="2">
                  <c:v>1.136435190164271E-2</c:v>
                </c:pt>
                <c:pt idx="3">
                  <c:v>9.9297023349858033E-3</c:v>
                </c:pt>
                <c:pt idx="4">
                  <c:v>8.4991171865916714E-3</c:v>
                </c:pt>
                <c:pt idx="5">
                  <c:v>7.0725792089083497E-3</c:v>
                </c:pt>
                <c:pt idx="6">
                  <c:v>5.650071251833662E-3</c:v>
                </c:pt>
                <c:pt idx="7">
                  <c:v>4.2315762620284162E-3</c:v>
                </c:pt>
                <c:pt idx="8">
                  <c:v>2.8170772822337098E-3</c:v>
                </c:pt>
                <c:pt idx="9">
                  <c:v>1.4065574505967057E-3</c:v>
                </c:pt>
                <c:pt idx="10">
                  <c:v>0</c:v>
                </c:pt>
                <c:pt idx="11">
                  <c:v>-1.4026117426028917E-3</c:v>
                </c:pt>
                <c:pt idx="12">
                  <c:v>-2.8012943568464736E-3</c:v>
                </c:pt>
                <c:pt idx="13">
                  <c:v>-4.19606432960609E-3</c:v>
                </c:pt>
                <c:pt idx="14">
                  <c:v>-5.5869380556457116E-3</c:v>
                </c:pt>
                <c:pt idx="15">
                  <c:v>-6.9739318382608636E-3</c:v>
                </c:pt>
                <c:pt idx="16">
                  <c:v>-8.3570618899156141E-3</c:v>
                </c:pt>
                <c:pt idx="17">
                  <c:v>-9.7363443328729142E-3</c:v>
                </c:pt>
                <c:pt idx="18">
                  <c:v>-1.1111795199822949E-2</c:v>
                </c:pt>
                <c:pt idx="19">
                  <c:v>-1.2483430434503588E-2</c:v>
                </c:pt>
                <c:pt idx="20">
                  <c:v>-1.3851265892315419E-2</c:v>
                </c:pt>
              </c:numCache>
            </c:numRef>
          </c:yVal>
          <c:smooth val="1"/>
        </c:ser>
        <c:ser>
          <c:idx val="5"/>
          <c:order val="4"/>
          <c:tx>
            <c:strRef>
              <c:f>'Sensitivity Analysis'!$Y$26</c:f>
              <c:strCache>
                <c:ptCount val="1"/>
                <c:pt idx="0">
                  <c:v> Reciprocating Gas Engine CAPEX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Analysis'!$Y$27:$Y$47</c:f>
              <c:numCache>
                <c:formatCode>0.00%</c:formatCode>
                <c:ptCount val="21"/>
                <c:pt idx="0">
                  <c:v>-3.2391247824074736E-6</c:v>
                </c:pt>
                <c:pt idx="1">
                  <c:v>-2.9152133536312561E-6</c:v>
                </c:pt>
                <c:pt idx="2">
                  <c:v>-2.5913017149297535E-6</c:v>
                </c:pt>
                <c:pt idx="3">
                  <c:v>-2.2673898666627346E-6</c:v>
                </c:pt>
                <c:pt idx="4">
                  <c:v>-1.9434778084704307E-6</c:v>
                </c:pt>
                <c:pt idx="5">
                  <c:v>-1.6195655401729572E-6</c:v>
                </c:pt>
                <c:pt idx="6">
                  <c:v>-1.2956530623099674E-6</c:v>
                </c:pt>
                <c:pt idx="7">
                  <c:v>-9.7174037452169254E-7</c:v>
                </c:pt>
                <c:pt idx="8">
                  <c:v>-6.4782747680813232E-7</c:v>
                </c:pt>
                <c:pt idx="9">
                  <c:v>-3.2391436934917145E-7</c:v>
                </c:pt>
                <c:pt idx="10">
                  <c:v>0</c:v>
                </c:pt>
                <c:pt idx="11">
                  <c:v>3.2391247498483676E-7</c:v>
                </c:pt>
                <c:pt idx="12">
                  <c:v>6.4782621203976869E-7</c:v>
                </c:pt>
                <c:pt idx="13">
                  <c:v>9.7174015884010118E-7</c:v>
                </c:pt>
                <c:pt idx="14">
                  <c:v>1.2956543153858344E-6</c:v>
                </c:pt>
                <c:pt idx="15">
                  <c:v>1.6195686820367375E-6</c:v>
                </c:pt>
                <c:pt idx="16">
                  <c:v>1.9434832584330411E-6</c:v>
                </c:pt>
                <c:pt idx="17">
                  <c:v>2.2673980445747455E-6</c:v>
                </c:pt>
                <c:pt idx="18">
                  <c:v>2.591313040641735E-6</c:v>
                </c:pt>
                <c:pt idx="19">
                  <c:v>2.9152282464541251E-6</c:v>
                </c:pt>
                <c:pt idx="20">
                  <c:v>3.2391436621918007E-6</c:v>
                </c:pt>
              </c:numCache>
            </c:numRef>
          </c:yVal>
          <c:smooth val="1"/>
        </c:ser>
        <c:ser>
          <c:idx val="2"/>
          <c:order val="5"/>
          <c:tx>
            <c:strRef>
              <c:f>'Sensitivity Analysis'!$AA$26</c:f>
              <c:strCache>
                <c:ptCount val="1"/>
                <c:pt idx="0">
                  <c:v> Engine Electrical Efficiency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Analysis'!$AA$27:$AA$47</c:f>
              <c:numCache>
                <c:formatCode>0.00%</c:formatCode>
                <c:ptCount val="21"/>
                <c:pt idx="0">
                  <c:v>0.1115422056122209</c:v>
                </c:pt>
                <c:pt idx="1">
                  <c:v>9.9280495135814689E-2</c:v>
                </c:pt>
                <c:pt idx="2">
                  <c:v>8.7286378804581025E-2</c:v>
                </c:pt>
                <c:pt idx="3">
                  <c:v>7.5551190794760623E-2</c:v>
                </c:pt>
                <c:pt idx="4">
                  <c:v>6.4066635489906487E-2</c:v>
                </c:pt>
                <c:pt idx="5">
                  <c:v>5.2824767919479314E-2</c:v>
                </c:pt>
                <c:pt idx="6">
                  <c:v>4.1817975424870008E-2</c:v>
                </c:pt>
                <c:pt idx="7">
                  <c:v>3.1038960463902365E-2</c:v>
                </c:pt>
                <c:pt idx="8">
                  <c:v>2.0480724472193974E-2</c:v>
                </c:pt>
                <c:pt idx="9">
                  <c:v>1.0136552706349156E-2</c:v>
                </c:pt>
                <c:pt idx="10">
                  <c:v>0</c:v>
                </c:pt>
                <c:pt idx="11">
                  <c:v>-9.9351226308206191E-3</c:v>
                </c:pt>
                <c:pt idx="12">
                  <c:v>-1.9674760591467489E-2</c:v>
                </c:pt>
                <c:pt idx="13">
                  <c:v>-2.9224627575589097E-2</c:v>
                </c:pt>
                <c:pt idx="14">
                  <c:v>-3.8590216744921184E-2</c:v>
                </c:pt>
                <c:pt idx="15">
                  <c:v>-4.777681126795106E-2</c:v>
                </c:pt>
                <c:pt idx="16">
                  <c:v>-5.6789494259935472E-2</c:v>
                </c:pt>
                <c:pt idx="17">
                  <c:v>-6.5633158163579758E-2</c:v>
                </c:pt>
                <c:pt idx="18">
                  <c:v>-7.431251360675617E-2</c:v>
                </c:pt>
                <c:pt idx="19">
                  <c:v>-8.2832097770963842E-2</c:v>
                </c:pt>
                <c:pt idx="20">
                  <c:v>-9.1196282301775122E-2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'Sensitivity Analysis'!$V$26</c:f>
              <c:strCache>
                <c:ptCount val="1"/>
                <c:pt idx="0">
                  <c:v> Cost of Energy Crop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Analysis'!$V$27:$V$47</c:f>
              <c:numCache>
                <c:formatCode>0.00%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686528"/>
        <c:axId val="105688448"/>
      </c:scatterChart>
      <c:valAx>
        <c:axId val="105686528"/>
        <c:scaling>
          <c:orientation val="minMax"/>
          <c:max val="0.1"/>
          <c:min val="-0.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 b="0"/>
                  <a:t>Variable change (%)</a:t>
                </a:r>
              </a:p>
            </c:rich>
          </c:tx>
          <c:layout>
            <c:manualLayout>
              <c:xMode val="edge"/>
              <c:yMode val="edge"/>
              <c:x val="0.37589823065638633"/>
              <c:y val="0.81675547075020516"/>
            </c:manualLayout>
          </c:layout>
          <c:overlay val="0"/>
        </c:title>
        <c:numFmt formatCode="0%" sourceLinked="1"/>
        <c:majorTickMark val="out"/>
        <c:minorTickMark val="none"/>
        <c:tickLblPos val="nextTo"/>
        <c:crossAx val="105688448"/>
        <c:crosses val="autoZero"/>
        <c:crossBetween val="midCat"/>
      </c:valAx>
      <c:valAx>
        <c:axId val="105688448"/>
        <c:scaling>
          <c:orientation val="minMax"/>
          <c:max val="0.1"/>
          <c:min val="-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 b="0"/>
                  <a:t>Payback</a:t>
                </a:r>
                <a:r>
                  <a:rPr lang="en-GB" b="0" baseline="0"/>
                  <a:t> change (%)</a:t>
                </a:r>
                <a:endParaRPr lang="en-GB" b="0"/>
              </a:p>
            </c:rich>
          </c:tx>
          <c:layout>
            <c:manualLayout>
              <c:xMode val="edge"/>
              <c:yMode val="edge"/>
              <c:x val="9.2493555536670678E-3"/>
              <c:y val="0.2869547364861601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crossAx val="10568652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476454062985744E-2"/>
          <c:y val="0.85993647649871974"/>
          <c:w val="0.97715216747887901"/>
          <c:h val="0.1370117385633544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47625</xdr:rowOff>
        </xdr:from>
        <xdr:to>
          <xdr:col>10</xdr:col>
          <xdr:colOff>57150</xdr:colOff>
          <xdr:row>2</xdr:row>
          <xdr:rowOff>152400</xdr:rowOff>
        </xdr:to>
        <xdr:sp macro="" textlink="">
          <xdr:nvSpPr>
            <xdr:cNvPr id="2049" name="ScrollBar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3</xdr:row>
          <xdr:rowOff>95250</xdr:rowOff>
        </xdr:from>
        <xdr:to>
          <xdr:col>10</xdr:col>
          <xdr:colOff>38100</xdr:colOff>
          <xdr:row>4</xdr:row>
          <xdr:rowOff>95250</xdr:rowOff>
        </xdr:to>
        <xdr:sp macro="" textlink="">
          <xdr:nvSpPr>
            <xdr:cNvPr id="2052" name="ScrollBar2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18</xdr:row>
      <xdr:rowOff>38100</xdr:rowOff>
    </xdr:from>
    <xdr:to>
      <xdr:col>5</xdr:col>
      <xdr:colOff>266700</xdr:colOff>
      <xdr:row>22</xdr:row>
      <xdr:rowOff>76200</xdr:rowOff>
    </xdr:to>
    <xdr:sp macro="" textlink="">
      <xdr:nvSpPr>
        <xdr:cNvPr id="2" name="Rounded Rectangular Callout 1"/>
        <xdr:cNvSpPr/>
      </xdr:nvSpPr>
      <xdr:spPr>
        <a:xfrm>
          <a:off x="1924050" y="3467100"/>
          <a:ext cx="1390650" cy="800100"/>
        </a:xfrm>
        <a:prstGeom prst="wedgeRoundRectCallout">
          <a:avLst>
            <a:gd name="adj1" fmla="val -21518"/>
            <a:gd name="adj2" fmla="val 89559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Need to set</a:t>
          </a:r>
          <a:r>
            <a:rPr lang="en-GB" sz="1100" baseline="0"/>
            <a:t> this up as a scenario! range -£10 to £10</a:t>
          </a:r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4</xdr:row>
          <xdr:rowOff>152400</xdr:rowOff>
        </xdr:from>
        <xdr:to>
          <xdr:col>7</xdr:col>
          <xdr:colOff>466725</xdr:colOff>
          <xdr:row>7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RUN SA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0</xdr:colOff>
      <xdr:row>1</xdr:row>
      <xdr:rowOff>0</xdr:rowOff>
    </xdr:from>
    <xdr:to>
      <xdr:col>25</xdr:col>
      <xdr:colOff>241935</xdr:colOff>
      <xdr:row>22</xdr:row>
      <xdr:rowOff>130175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ttj2/Dropbox/2013%20Temp%20JIm%20&amp;%20Dan%20folder/EBRI%20Business%20Assist%20(2013)/Strutt%20&amp;%20Parker%20(2013)/Financial%20Analysis/BoFP%20AD%20calculator%20(V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ysis"/>
      <sheetName val="Sensitivity Analysis"/>
      <sheetName val="SKM Economies of Scale"/>
    </sheetNames>
    <sheetDataSet>
      <sheetData sheetId="0" refreshError="1"/>
      <sheetData sheetId="1" refreshError="1"/>
      <sheetData sheetId="2">
        <row r="11">
          <cell r="C11">
            <v>349.32198865361903</v>
          </cell>
        </row>
        <row r="18">
          <cell r="C18">
            <v>170.00336781142792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fitariffs.co.uk/eligible/levels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O117"/>
  <sheetViews>
    <sheetView tabSelected="1" workbookViewId="0">
      <pane ySplit="5" topLeftCell="A26" activePane="bottomLeft" state="frozen"/>
      <selection pane="bottomLeft" activeCell="D50" sqref="D50"/>
    </sheetView>
  </sheetViews>
  <sheetFormatPr defaultRowHeight="12.75" x14ac:dyDescent="0.2"/>
  <cols>
    <col min="1" max="1" width="1.7109375" style="1" customWidth="1"/>
    <col min="2" max="2" width="32.7109375" style="1" customWidth="1"/>
    <col min="3" max="3" width="14.140625" style="1" customWidth="1"/>
    <col min="4" max="4" width="19.140625" style="1" bestFit="1" customWidth="1"/>
    <col min="5" max="5" width="9.140625" style="1"/>
    <col min="6" max="6" width="14.85546875" style="1" bestFit="1" customWidth="1"/>
    <col min="7" max="11" width="9.140625" style="1"/>
    <col min="12" max="12" width="19.5703125" style="1" customWidth="1"/>
    <col min="13" max="13" width="8.42578125" style="1" bestFit="1" customWidth="1"/>
    <col min="14" max="16384" width="9.140625" style="1"/>
  </cols>
  <sheetData>
    <row r="1" spans="2:4" ht="18.75" customHeight="1" x14ac:dyDescent="0.2">
      <c r="B1" s="7" t="s">
        <v>94</v>
      </c>
    </row>
    <row r="2" spans="2:4" ht="6" customHeight="1" x14ac:dyDescent="0.2"/>
    <row r="3" spans="2:4" x14ac:dyDescent="0.2">
      <c r="B3" s="8" t="s">
        <v>63</v>
      </c>
      <c r="C3" s="8"/>
      <c r="D3" s="9"/>
    </row>
    <row r="4" spans="2:4" s="2" customFormat="1" x14ac:dyDescent="0.2">
      <c r="B4" s="10" t="s">
        <v>80</v>
      </c>
      <c r="C4" s="10" t="s">
        <v>2</v>
      </c>
      <c r="D4" s="11">
        <v>189</v>
      </c>
    </row>
    <row r="5" spans="2:4" s="2" customFormat="1" x14ac:dyDescent="0.2">
      <c r="B5" s="10" t="s">
        <v>81</v>
      </c>
      <c r="C5" s="10" t="s">
        <v>7</v>
      </c>
      <c r="D5" s="11">
        <v>81</v>
      </c>
    </row>
    <row r="6" spans="2:4" s="2" customFormat="1" ht="15" customHeight="1" x14ac:dyDescent="0.2">
      <c r="B6" s="12" t="s">
        <v>89</v>
      </c>
      <c r="C6" s="13"/>
      <c r="D6" s="13"/>
    </row>
    <row r="7" spans="2:4" x14ac:dyDescent="0.2">
      <c r="B7" s="10" t="s">
        <v>1</v>
      </c>
      <c r="C7" s="10" t="s">
        <v>42</v>
      </c>
      <c r="D7" s="11">
        <v>80</v>
      </c>
    </row>
    <row r="8" spans="2:4" x14ac:dyDescent="0.2">
      <c r="B8" s="10" t="s">
        <v>35</v>
      </c>
      <c r="C8" s="10">
        <v>75000</v>
      </c>
      <c r="D8" s="14">
        <v>6</v>
      </c>
    </row>
    <row r="9" spans="2:4" x14ac:dyDescent="0.2">
      <c r="B9" s="10" t="s">
        <v>36</v>
      </c>
      <c r="C9" s="10" t="s">
        <v>3</v>
      </c>
      <c r="D9" s="11">
        <v>85</v>
      </c>
    </row>
    <row r="10" spans="2:4" x14ac:dyDescent="0.2">
      <c r="B10" s="16" t="s">
        <v>88</v>
      </c>
      <c r="C10" s="10" t="s">
        <v>4</v>
      </c>
      <c r="D10" s="11">
        <v>180</v>
      </c>
    </row>
    <row r="11" spans="2:4" x14ac:dyDescent="0.2">
      <c r="B11" s="10" t="s">
        <v>37</v>
      </c>
      <c r="C11" s="10">
        <v>0</v>
      </c>
      <c r="D11" s="11">
        <v>58</v>
      </c>
    </row>
    <row r="12" spans="2:4" x14ac:dyDescent="0.2">
      <c r="B12" s="10" t="s">
        <v>43</v>
      </c>
      <c r="C12" s="10" t="s">
        <v>6</v>
      </c>
      <c r="D12" s="15">
        <f>D4*D7/1000</f>
        <v>15.12</v>
      </c>
    </row>
    <row r="13" spans="2:4" x14ac:dyDescent="0.2">
      <c r="B13" s="10" t="s">
        <v>38</v>
      </c>
      <c r="C13" s="10" t="s">
        <v>6</v>
      </c>
      <c r="D13" s="15">
        <f t="shared" ref="D13:D14" si="0">D12*D8/100</f>
        <v>0.90720000000000001</v>
      </c>
    </row>
    <row r="14" spans="2:4" x14ac:dyDescent="0.2">
      <c r="B14" s="10" t="s">
        <v>39</v>
      </c>
      <c r="C14" s="10" t="s">
        <v>6</v>
      </c>
      <c r="D14" s="15">
        <f t="shared" si="0"/>
        <v>0.77111999999999992</v>
      </c>
    </row>
    <row r="15" spans="2:4" x14ac:dyDescent="0.2">
      <c r="B15" s="10" t="s">
        <v>40</v>
      </c>
      <c r="C15" s="10" t="s">
        <v>5</v>
      </c>
      <c r="D15" s="10">
        <f>D14*D10</f>
        <v>138.80159999999998</v>
      </c>
    </row>
    <row r="16" spans="2:4" x14ac:dyDescent="0.2">
      <c r="B16" s="10" t="s">
        <v>41</v>
      </c>
      <c r="C16" s="10"/>
      <c r="D16" s="10">
        <f>D15/D11*100</f>
        <v>239.31310344827583</v>
      </c>
    </row>
    <row r="17" spans="2:4" ht="15.75" customHeight="1" x14ac:dyDescent="0.2">
      <c r="B17" s="12" t="s">
        <v>90</v>
      </c>
      <c r="C17" s="12"/>
      <c r="D17" s="12"/>
    </row>
    <row r="18" spans="2:4" x14ac:dyDescent="0.2">
      <c r="B18" s="10" t="s">
        <v>44</v>
      </c>
      <c r="C18" s="10" t="s">
        <v>8</v>
      </c>
      <c r="D18" s="11">
        <v>75000</v>
      </c>
    </row>
    <row r="19" spans="2:4" x14ac:dyDescent="0.2">
      <c r="B19" s="10" t="s">
        <v>35</v>
      </c>
      <c r="C19" s="10"/>
      <c r="D19" s="14">
        <v>30</v>
      </c>
    </row>
    <row r="20" spans="2:4" x14ac:dyDescent="0.2">
      <c r="B20" s="10" t="s">
        <v>36</v>
      </c>
      <c r="C20" s="10" t="s">
        <v>3</v>
      </c>
      <c r="D20" s="11">
        <v>95</v>
      </c>
    </row>
    <row r="21" spans="2:4" x14ac:dyDescent="0.2">
      <c r="B21" s="16" t="s">
        <v>88</v>
      </c>
      <c r="C21" s="10">
        <v>0.35</v>
      </c>
      <c r="D21" s="11">
        <v>380</v>
      </c>
    </row>
    <row r="22" spans="2:4" x14ac:dyDescent="0.2">
      <c r="B22" s="10" t="s">
        <v>37</v>
      </c>
      <c r="C22" s="10" t="s">
        <v>14</v>
      </c>
      <c r="D22" s="11">
        <v>55</v>
      </c>
    </row>
    <row r="23" spans="2:4" x14ac:dyDescent="0.2">
      <c r="B23" s="10" t="s">
        <v>45</v>
      </c>
      <c r="C23" s="10" t="s">
        <v>46</v>
      </c>
      <c r="D23" s="11">
        <v>0</v>
      </c>
    </row>
    <row r="24" spans="2:4" x14ac:dyDescent="0.2">
      <c r="B24" s="10" t="s">
        <v>43</v>
      </c>
      <c r="C24" s="10" t="s">
        <v>9</v>
      </c>
      <c r="D24" s="15">
        <f>D5*D18/365</f>
        <v>16643.835616438355</v>
      </c>
    </row>
    <row r="25" spans="2:4" x14ac:dyDescent="0.2">
      <c r="B25" s="10" t="s">
        <v>38</v>
      </c>
      <c r="C25" s="10" t="s">
        <v>6</v>
      </c>
      <c r="D25" s="15">
        <f t="shared" ref="D25:D26" si="1">D24*D19/100</f>
        <v>4993.1506849315065</v>
      </c>
    </row>
    <row r="26" spans="2:4" x14ac:dyDescent="0.2">
      <c r="B26" s="10" t="s">
        <v>39</v>
      </c>
      <c r="C26" s="10" t="s">
        <v>6</v>
      </c>
      <c r="D26" s="15">
        <f t="shared" si="1"/>
        <v>4743.4931506849316</v>
      </c>
    </row>
    <row r="27" spans="2:4" x14ac:dyDescent="0.2">
      <c r="B27" s="10" t="s">
        <v>40</v>
      </c>
      <c r="C27" s="10" t="s">
        <v>5</v>
      </c>
      <c r="D27" s="10">
        <f>D26*D21</f>
        <v>1802527.397260274</v>
      </c>
    </row>
    <row r="28" spans="2:4" x14ac:dyDescent="0.2">
      <c r="B28" s="10" t="s">
        <v>41</v>
      </c>
      <c r="C28" s="10" t="s">
        <v>5</v>
      </c>
      <c r="D28" s="10">
        <f>D27/D22*100</f>
        <v>3277322.5404732255</v>
      </c>
    </row>
    <row r="29" spans="2:4" x14ac:dyDescent="0.2">
      <c r="B29" s="10" t="s">
        <v>45</v>
      </c>
      <c r="C29" s="10" t="s">
        <v>47</v>
      </c>
      <c r="D29" s="10">
        <f>D24*365*D23</f>
        <v>0</v>
      </c>
    </row>
    <row r="30" spans="2:4" ht="18" customHeight="1" x14ac:dyDescent="0.2">
      <c r="B30" s="12" t="s">
        <v>91</v>
      </c>
      <c r="C30" s="12"/>
      <c r="D30" s="12"/>
    </row>
    <row r="31" spans="2:4" x14ac:dyDescent="0.2">
      <c r="B31" s="10" t="s">
        <v>10</v>
      </c>
      <c r="C31" s="10" t="s">
        <v>9</v>
      </c>
      <c r="D31" s="15">
        <f>Calcs!D12+Calcs!D24</f>
        <v>16658.955616438354</v>
      </c>
    </row>
    <row r="32" spans="2:4" x14ac:dyDescent="0.2">
      <c r="B32" s="10" t="s">
        <v>11</v>
      </c>
      <c r="C32" s="10" t="s">
        <v>6</v>
      </c>
      <c r="D32" s="15">
        <f>Calcs!D13+Calcs!D25</f>
        <v>4994.0578849315061</v>
      </c>
    </row>
    <row r="33" spans="2:4" x14ac:dyDescent="0.2">
      <c r="B33" s="10" t="s">
        <v>12</v>
      </c>
      <c r="C33" s="10" t="s">
        <v>6</v>
      </c>
      <c r="D33" s="15">
        <f>Calcs!D14+Calcs!D26</f>
        <v>4744.2642706849319</v>
      </c>
    </row>
    <row r="34" spans="2:4" x14ac:dyDescent="0.2">
      <c r="B34" s="10" t="s">
        <v>13</v>
      </c>
      <c r="C34" s="10" t="s">
        <v>5</v>
      </c>
      <c r="D34" s="10">
        <f>Calcs!D15+Calcs!D27</f>
        <v>1802666.1988602739</v>
      </c>
    </row>
    <row r="35" spans="2:4" x14ac:dyDescent="0.2">
      <c r="B35" s="10" t="s">
        <v>15</v>
      </c>
      <c r="C35" s="10" t="s">
        <v>5</v>
      </c>
      <c r="D35" s="10">
        <f>Calcs!D16+Calcs!D28</f>
        <v>3277561.8535766737</v>
      </c>
    </row>
    <row r="36" spans="2:4" x14ac:dyDescent="0.2">
      <c r="B36" s="10" t="s">
        <v>16</v>
      </c>
      <c r="C36" s="10" t="s">
        <v>17</v>
      </c>
      <c r="D36" s="10">
        <f>D34/24/3.6*35.7</f>
        <v>744851.65855684935</v>
      </c>
    </row>
    <row r="37" spans="2:4" ht="17.25" customHeight="1" x14ac:dyDescent="0.2">
      <c r="B37" s="12" t="s">
        <v>92</v>
      </c>
      <c r="C37" s="12"/>
      <c r="D37" s="12"/>
    </row>
    <row r="38" spans="2:4" s="2" customFormat="1" x14ac:dyDescent="0.2">
      <c r="B38" s="11" t="s">
        <v>30</v>
      </c>
      <c r="C38" s="11" t="s">
        <v>14</v>
      </c>
      <c r="D38" s="14">
        <v>0.35</v>
      </c>
    </row>
    <row r="39" spans="2:4" x14ac:dyDescent="0.2">
      <c r="B39" s="10" t="s">
        <v>31</v>
      </c>
      <c r="C39" s="10" t="s">
        <v>14</v>
      </c>
      <c r="D39" s="10">
        <f>80-D38</f>
        <v>79.650000000000006</v>
      </c>
    </row>
    <row r="40" spans="2:4" x14ac:dyDescent="0.2">
      <c r="B40" s="10" t="s">
        <v>32</v>
      </c>
      <c r="C40" s="10" t="s">
        <v>34</v>
      </c>
      <c r="D40" s="10">
        <f>D36*D38/100</f>
        <v>2606.9808049489725</v>
      </c>
    </row>
    <row r="41" spans="2:4" x14ac:dyDescent="0.2">
      <c r="B41" s="10" t="s">
        <v>33</v>
      </c>
      <c r="C41" s="10" t="s">
        <v>17</v>
      </c>
      <c r="D41" s="10">
        <f>D36*D39/100</f>
        <v>593274.3460405306</v>
      </c>
    </row>
    <row r="42" spans="2:4" ht="16.5" customHeight="1" x14ac:dyDescent="0.2">
      <c r="B42" s="12" t="s">
        <v>93</v>
      </c>
      <c r="C42" s="12">
        <v>60</v>
      </c>
      <c r="D42" s="12"/>
    </row>
    <row r="43" spans="2:4" x14ac:dyDescent="0.2">
      <c r="B43" s="10" t="s">
        <v>18</v>
      </c>
      <c r="C43" s="10" t="s">
        <v>20</v>
      </c>
      <c r="D43" s="11">
        <v>15</v>
      </c>
    </row>
    <row r="44" spans="2:4" x14ac:dyDescent="0.2">
      <c r="B44" s="10" t="s">
        <v>19</v>
      </c>
      <c r="C44" s="10" t="s">
        <v>20</v>
      </c>
      <c r="D44" s="11">
        <v>40</v>
      </c>
    </row>
    <row r="45" spans="2:4" x14ac:dyDescent="0.2">
      <c r="B45" s="10" t="s">
        <v>21</v>
      </c>
      <c r="C45" s="10" t="s">
        <v>17</v>
      </c>
      <c r="D45" s="10">
        <f>D31*(D44-D43)*4.19/24/3.6</f>
        <v>20197.055565068491</v>
      </c>
    </row>
    <row r="46" spans="2:4" x14ac:dyDescent="0.2">
      <c r="B46" s="10" t="s">
        <v>22</v>
      </c>
      <c r="C46" s="10" t="s">
        <v>20</v>
      </c>
      <c r="D46" s="11">
        <v>0</v>
      </c>
    </row>
    <row r="47" spans="2:4" x14ac:dyDescent="0.2">
      <c r="B47" s="10" t="s">
        <v>23</v>
      </c>
      <c r="C47" s="10" t="s">
        <v>17</v>
      </c>
      <c r="D47" s="11">
        <v>20</v>
      </c>
    </row>
    <row r="48" spans="2:4" x14ac:dyDescent="0.2">
      <c r="B48" s="10" t="s">
        <v>24</v>
      </c>
      <c r="C48" s="10" t="s">
        <v>17</v>
      </c>
      <c r="D48" s="10">
        <f>D45+D47</f>
        <v>20217.055565068491</v>
      </c>
    </row>
    <row r="49" spans="2:15" x14ac:dyDescent="0.2">
      <c r="B49" s="10" t="s">
        <v>25</v>
      </c>
      <c r="C49" s="10" t="s">
        <v>14</v>
      </c>
      <c r="D49" s="10">
        <f>D48/D41*100</f>
        <v>3.4077076988067381</v>
      </c>
    </row>
    <row r="50" spans="2:15" x14ac:dyDescent="0.2">
      <c r="B50" s="10" t="s">
        <v>26</v>
      </c>
      <c r="C50" s="10" t="s">
        <v>17</v>
      </c>
      <c r="D50" s="10">
        <f>D41-D48</f>
        <v>573057.2904754621</v>
      </c>
    </row>
    <row r="51" spans="2:15" ht="3" customHeight="1" x14ac:dyDescent="0.2">
      <c r="B51" s="3"/>
      <c r="C51" s="3"/>
      <c r="D51" s="3"/>
    </row>
    <row r="54" spans="2:15" ht="3" customHeight="1" x14ac:dyDescent="0.2"/>
    <row r="55" spans="2:15" x14ac:dyDescent="0.2">
      <c r="F55" s="1" t="s">
        <v>144</v>
      </c>
    </row>
    <row r="57" spans="2:15" x14ac:dyDescent="0.2">
      <c r="B57" s="17" t="s">
        <v>69</v>
      </c>
      <c r="C57" s="17"/>
      <c r="D57" s="17"/>
    </row>
    <row r="58" spans="2:15" x14ac:dyDescent="0.2">
      <c r="B58" s="3"/>
      <c r="C58" s="3"/>
      <c r="D58" s="3"/>
    </row>
    <row r="59" spans="2:15" ht="3" customHeight="1" x14ac:dyDescent="0.2">
      <c r="B59" s="17" t="s">
        <v>63</v>
      </c>
      <c r="C59" s="17"/>
      <c r="D59" s="18"/>
    </row>
    <row r="60" spans="2:15" x14ac:dyDescent="0.2">
      <c r="B60" s="3"/>
      <c r="C60" s="3"/>
      <c r="D60" s="3"/>
    </row>
    <row r="61" spans="2:15" ht="13.5" thickBot="1" x14ac:dyDescent="0.25">
      <c r="B61" s="3" t="str">
        <f>Calcs!B4</f>
        <v>Number of Dairy Cows</v>
      </c>
      <c r="C61" s="3" t="str">
        <f>Calcs!C4</f>
        <v>No.</v>
      </c>
      <c r="D61" s="3">
        <f>Calcs!D4</f>
        <v>189</v>
      </c>
      <c r="L61" s="128" t="s">
        <v>149</v>
      </c>
    </row>
    <row r="62" spans="2:15" ht="13.5" thickBot="1" x14ac:dyDescent="0.25">
      <c r="B62" s="3" t="str">
        <f>Calcs!B5</f>
        <v>Area of Maize Silage</v>
      </c>
      <c r="C62" s="3" t="str">
        <f>Calcs!C5</f>
        <v>ha</v>
      </c>
      <c r="D62" s="3">
        <f>Calcs!D5</f>
        <v>81</v>
      </c>
      <c r="L62" s="125" t="s">
        <v>145</v>
      </c>
      <c r="M62" s="126" t="s">
        <v>146</v>
      </c>
      <c r="N62" s="126"/>
      <c r="O62" s="126">
        <v>15.16</v>
      </c>
    </row>
    <row r="63" spans="2:15" ht="24.75" thickBot="1" x14ac:dyDescent="0.25">
      <c r="B63" s="19" t="s">
        <v>95</v>
      </c>
      <c r="C63" s="19"/>
      <c r="D63" s="19"/>
      <c r="L63" s="125" t="s">
        <v>145</v>
      </c>
      <c r="M63" s="126" t="s">
        <v>147</v>
      </c>
      <c r="N63" s="126"/>
      <c r="O63" s="126">
        <v>14.02</v>
      </c>
    </row>
    <row r="64" spans="2:15" ht="13.5" thickBot="1" x14ac:dyDescent="0.25">
      <c r="B64" s="3" t="s">
        <v>65</v>
      </c>
      <c r="C64" s="3" t="s">
        <v>27</v>
      </c>
      <c r="D64" s="4">
        <f>6500</f>
        <v>6500</v>
      </c>
      <c r="L64" s="125" t="s">
        <v>145</v>
      </c>
      <c r="M64" s="126" t="s">
        <v>148</v>
      </c>
      <c r="N64" s="126"/>
      <c r="O64" s="126">
        <v>9.24</v>
      </c>
    </row>
    <row r="65" spans="2:4" x14ac:dyDescent="0.2">
      <c r="B65" s="19" t="s">
        <v>96</v>
      </c>
      <c r="C65" s="19"/>
      <c r="D65" s="19"/>
    </row>
    <row r="66" spans="2:4" x14ac:dyDescent="0.2">
      <c r="B66" s="3" t="s">
        <v>84</v>
      </c>
      <c r="C66" s="3" t="s">
        <v>34</v>
      </c>
      <c r="D66" s="3">
        <f>Calcs!D40</f>
        <v>2606.9808049489725</v>
      </c>
    </row>
    <row r="67" spans="2:4" x14ac:dyDescent="0.2">
      <c r="B67" s="3" t="s">
        <v>85</v>
      </c>
      <c r="C67" s="3" t="s">
        <v>14</v>
      </c>
      <c r="D67" s="4">
        <v>90</v>
      </c>
    </row>
    <row r="68" spans="2:4" x14ac:dyDescent="0.2">
      <c r="B68" s="3" t="s">
        <v>66</v>
      </c>
      <c r="C68" s="3" t="s">
        <v>86</v>
      </c>
      <c r="D68" s="3">
        <f>D66*8760*D67/100</f>
        <v>20553436.6662177</v>
      </c>
    </row>
    <row r="69" spans="2:4" x14ac:dyDescent="0.2">
      <c r="B69" s="3" t="s">
        <v>72</v>
      </c>
      <c r="C69" s="3" t="s">
        <v>14</v>
      </c>
      <c r="D69" s="4">
        <v>95</v>
      </c>
    </row>
    <row r="70" spans="2:4" x14ac:dyDescent="0.2">
      <c r="B70" s="3" t="s">
        <v>76</v>
      </c>
      <c r="C70" s="3" t="s">
        <v>86</v>
      </c>
      <c r="D70" s="3">
        <f>D68*D69/100</f>
        <v>19525764.832906812</v>
      </c>
    </row>
    <row r="71" spans="2:4" x14ac:dyDescent="0.2">
      <c r="B71" s="3" t="s">
        <v>77</v>
      </c>
      <c r="C71" s="3" t="s">
        <v>86</v>
      </c>
      <c r="D71" s="3">
        <f>D68*(100-D69)/100</f>
        <v>1027671.833310885</v>
      </c>
    </row>
    <row r="72" spans="2:4" x14ac:dyDescent="0.2">
      <c r="B72" s="19" t="s">
        <v>97</v>
      </c>
      <c r="C72" s="19"/>
      <c r="D72" s="19"/>
    </row>
    <row r="73" spans="2:4" x14ac:dyDescent="0.2">
      <c r="B73" s="6" t="s">
        <v>70</v>
      </c>
      <c r="C73" s="6" t="s">
        <v>99</v>
      </c>
      <c r="D73" s="127">
        <f>IF(Elec_Capacity&lt;250,15.16,IF(Elec_Capacity&lt;500,14.02,9.24))</f>
        <v>9.24</v>
      </c>
    </row>
    <row r="74" spans="2:4" x14ac:dyDescent="0.2">
      <c r="B74" s="3" t="s">
        <v>71</v>
      </c>
      <c r="C74" s="3" t="s">
        <v>99</v>
      </c>
      <c r="D74" s="20">
        <v>4.6399999999999997</v>
      </c>
    </row>
    <row r="75" spans="2:4" x14ac:dyDescent="0.2">
      <c r="B75" s="3" t="s">
        <v>73</v>
      </c>
      <c r="C75" s="3" t="s">
        <v>99</v>
      </c>
      <c r="D75" s="5">
        <v>6</v>
      </c>
    </row>
    <row r="76" spans="2:4" x14ac:dyDescent="0.2">
      <c r="B76" s="3" t="s">
        <v>74</v>
      </c>
      <c r="C76" s="3" t="s">
        <v>28</v>
      </c>
      <c r="D76" s="3">
        <f>D68*D73/100</f>
        <v>1899137.5479585156</v>
      </c>
    </row>
    <row r="77" spans="2:4" x14ac:dyDescent="0.2">
      <c r="B77" s="3" t="s">
        <v>75</v>
      </c>
      <c r="C77" s="3" t="s">
        <v>28</v>
      </c>
      <c r="D77" s="3">
        <f>D70*D74/100</f>
        <v>905995.48824687605</v>
      </c>
    </row>
    <row r="78" spans="2:4" x14ac:dyDescent="0.2">
      <c r="B78" s="3" t="s">
        <v>73</v>
      </c>
      <c r="C78" s="3" t="s">
        <v>28</v>
      </c>
      <c r="D78" s="3">
        <f>D71*D75/100</f>
        <v>61660.309998653102</v>
      </c>
    </row>
    <row r="79" spans="2:4" x14ac:dyDescent="0.2">
      <c r="B79" s="3" t="s">
        <v>78</v>
      </c>
      <c r="C79" s="3" t="s">
        <v>28</v>
      </c>
      <c r="D79" s="3">
        <f>SUM(D76:D78)</f>
        <v>2866793.3462040443</v>
      </c>
    </row>
    <row r="80" spans="2:4" x14ac:dyDescent="0.2">
      <c r="B80" s="19"/>
      <c r="C80" s="19"/>
      <c r="D80" s="19"/>
    </row>
    <row r="81" spans="2:6" s="119" customFormat="1" x14ac:dyDescent="0.2">
      <c r="B81" s="121"/>
      <c r="C81" s="121"/>
      <c r="D81" s="121"/>
    </row>
    <row r="82" spans="2:6" s="119" customFormat="1" x14ac:dyDescent="0.2">
      <c r="B82" s="121"/>
      <c r="C82" s="121"/>
      <c r="D82" s="121"/>
    </row>
    <row r="83" spans="2:6" s="119" customFormat="1" x14ac:dyDescent="0.2">
      <c r="B83" s="121"/>
      <c r="C83" s="121"/>
      <c r="D83" s="121"/>
    </row>
    <row r="84" spans="2:6" s="119" customFormat="1" x14ac:dyDescent="0.2">
      <c r="B84" s="121"/>
      <c r="C84" s="121"/>
      <c r="D84" s="121"/>
    </row>
    <row r="85" spans="2:6" s="119" customFormat="1" x14ac:dyDescent="0.2">
      <c r="B85" s="121"/>
      <c r="C85" s="121"/>
      <c r="D85" s="121"/>
    </row>
    <row r="86" spans="2:6" s="119" customFormat="1" x14ac:dyDescent="0.2">
      <c r="B86" s="121"/>
      <c r="C86" s="121"/>
      <c r="D86" s="121"/>
    </row>
    <row r="87" spans="2:6" s="119" customFormat="1" x14ac:dyDescent="0.2">
      <c r="B87" s="121"/>
      <c r="C87" s="121"/>
      <c r="D87" s="121"/>
    </row>
    <row r="88" spans="2:6" x14ac:dyDescent="0.2">
      <c r="B88" s="3" t="s">
        <v>82</v>
      </c>
      <c r="C88" s="3" t="s">
        <v>29</v>
      </c>
      <c r="D88" s="4">
        <v>1000</v>
      </c>
    </row>
    <row r="89" spans="2:6" x14ac:dyDescent="0.2">
      <c r="B89" s="3" t="s">
        <v>48</v>
      </c>
      <c r="C89" s="3" t="s">
        <v>49</v>
      </c>
      <c r="D89" s="4">
        <v>15</v>
      </c>
    </row>
    <row r="90" spans="2:6" x14ac:dyDescent="0.2">
      <c r="B90" s="3" t="s">
        <v>50</v>
      </c>
      <c r="C90" s="3" t="s">
        <v>28</v>
      </c>
      <c r="D90" s="3">
        <f>D88*D89</f>
        <v>15000</v>
      </c>
    </row>
    <row r="91" spans="2:6" x14ac:dyDescent="0.2">
      <c r="B91" s="3" t="s">
        <v>67</v>
      </c>
      <c r="C91" s="3" t="s">
        <v>28</v>
      </c>
      <c r="D91" s="4">
        <v>20000</v>
      </c>
    </row>
    <row r="92" spans="2:6" x14ac:dyDescent="0.2">
      <c r="B92" s="3" t="s">
        <v>68</v>
      </c>
      <c r="C92" s="3" t="s">
        <v>28</v>
      </c>
      <c r="D92" s="120">
        <f>(314541*D40^-0.603)</f>
        <v>2739.9721566445278</v>
      </c>
      <c r="F92" s="3">
        <f>ROUNDUP(D68*0.012,-3)</f>
        <v>247000</v>
      </c>
    </row>
    <row r="93" spans="2:6" x14ac:dyDescent="0.2">
      <c r="B93" s="3" t="s">
        <v>0</v>
      </c>
      <c r="C93" s="3" t="s">
        <v>28</v>
      </c>
      <c r="D93" s="3">
        <f>ROUNDUP(Calcs!D29,-3)</f>
        <v>0</v>
      </c>
    </row>
    <row r="94" spans="2:6" x14ac:dyDescent="0.2">
      <c r="B94" s="3"/>
      <c r="C94" s="3"/>
      <c r="D94" s="3"/>
    </row>
    <row r="95" spans="2:6" x14ac:dyDescent="0.2">
      <c r="B95" s="3" t="s">
        <v>83</v>
      </c>
      <c r="C95" s="3" t="s">
        <v>28</v>
      </c>
      <c r="D95" s="3">
        <f>SUM(D90:D93)</f>
        <v>37739.97215664453</v>
      </c>
    </row>
    <row r="96" spans="2:6" x14ac:dyDescent="0.2">
      <c r="B96" s="3"/>
      <c r="C96" s="3"/>
      <c r="D96" s="3"/>
    </row>
    <row r="97" spans="2:4" x14ac:dyDescent="0.2">
      <c r="B97" s="3" t="s">
        <v>78</v>
      </c>
      <c r="C97" s="3" t="s">
        <v>28</v>
      </c>
      <c r="D97" s="3">
        <f>D79</f>
        <v>2866793.3462040443</v>
      </c>
    </row>
    <row r="98" spans="2:4" x14ac:dyDescent="0.2">
      <c r="B98" s="3" t="s">
        <v>64</v>
      </c>
      <c r="C98" s="3" t="s">
        <v>28</v>
      </c>
      <c r="D98" s="3">
        <f>Calcs!D95</f>
        <v>37739.97215664453</v>
      </c>
    </row>
    <row r="99" spans="2:4" x14ac:dyDescent="0.2">
      <c r="B99" s="3" t="s">
        <v>79</v>
      </c>
      <c r="C99" s="3" t="s">
        <v>28</v>
      </c>
      <c r="D99" s="3">
        <f>D97-D98</f>
        <v>2829053.3740474</v>
      </c>
    </row>
    <row r="100" spans="2:4" x14ac:dyDescent="0.2">
      <c r="B100" s="19" t="s">
        <v>98</v>
      </c>
      <c r="C100" s="19"/>
      <c r="D100" s="19"/>
    </row>
    <row r="101" spans="2:4" x14ac:dyDescent="0.2">
      <c r="B101" s="3" t="s">
        <v>87</v>
      </c>
      <c r="C101" s="3"/>
      <c r="D101" s="3"/>
    </row>
    <row r="102" spans="2:4" x14ac:dyDescent="0.2">
      <c r="B102" s="3" t="s">
        <v>51</v>
      </c>
      <c r="C102" s="3"/>
      <c r="D102" s="3">
        <f>-D64</f>
        <v>-6500</v>
      </c>
    </row>
    <row r="103" spans="2:4" x14ac:dyDescent="0.2">
      <c r="B103" s="3" t="s">
        <v>52</v>
      </c>
      <c r="C103" s="3"/>
      <c r="D103" s="3">
        <f t="shared" ref="D103:D112" si="2">D$99</f>
        <v>2829053.3740474</v>
      </c>
    </row>
    <row r="104" spans="2:4" x14ac:dyDescent="0.2">
      <c r="B104" s="3" t="s">
        <v>53</v>
      </c>
      <c r="C104" s="3"/>
      <c r="D104" s="3">
        <f t="shared" si="2"/>
        <v>2829053.3740474</v>
      </c>
    </row>
    <row r="105" spans="2:4" x14ac:dyDescent="0.2">
      <c r="B105" s="3" t="s">
        <v>54</v>
      </c>
      <c r="C105" s="3"/>
      <c r="D105" s="3">
        <f t="shared" si="2"/>
        <v>2829053.3740474</v>
      </c>
    </row>
    <row r="106" spans="2:4" x14ac:dyDescent="0.2">
      <c r="B106" s="3" t="s">
        <v>55</v>
      </c>
      <c r="C106" s="3"/>
      <c r="D106" s="3">
        <f t="shared" si="2"/>
        <v>2829053.3740474</v>
      </c>
    </row>
    <row r="107" spans="2:4" x14ac:dyDescent="0.2">
      <c r="B107" s="3" t="s">
        <v>56</v>
      </c>
      <c r="C107" s="3"/>
      <c r="D107" s="3">
        <f t="shared" si="2"/>
        <v>2829053.3740474</v>
      </c>
    </row>
    <row r="108" spans="2:4" x14ac:dyDescent="0.2">
      <c r="B108" s="3" t="s">
        <v>57</v>
      </c>
      <c r="C108" s="3"/>
      <c r="D108" s="3">
        <f t="shared" si="2"/>
        <v>2829053.3740474</v>
      </c>
    </row>
    <row r="109" spans="2:4" x14ac:dyDescent="0.2">
      <c r="B109" s="3" t="s">
        <v>58</v>
      </c>
      <c r="C109" s="3"/>
      <c r="D109" s="3">
        <f t="shared" si="2"/>
        <v>2829053.3740474</v>
      </c>
    </row>
    <row r="110" spans="2:4" x14ac:dyDescent="0.2">
      <c r="B110" s="3" t="s">
        <v>59</v>
      </c>
      <c r="C110" s="3"/>
      <c r="D110" s="3">
        <f t="shared" si="2"/>
        <v>2829053.3740474</v>
      </c>
    </row>
    <row r="111" spans="2:4" x14ac:dyDescent="0.2">
      <c r="B111" s="3" t="s">
        <v>60</v>
      </c>
      <c r="C111" s="3"/>
      <c r="D111" s="3">
        <f t="shared" si="2"/>
        <v>2829053.3740474</v>
      </c>
    </row>
    <row r="112" spans="2:4" x14ac:dyDescent="0.2">
      <c r="B112" s="3" t="s">
        <v>61</v>
      </c>
      <c r="C112" s="3"/>
      <c r="D112" s="3">
        <f t="shared" si="2"/>
        <v>2829053.3740474</v>
      </c>
    </row>
    <row r="113" spans="2:4" x14ac:dyDescent="0.2">
      <c r="B113" s="3"/>
      <c r="C113" s="3"/>
      <c r="D113" s="3"/>
    </row>
    <row r="114" spans="2:4" x14ac:dyDescent="0.2">
      <c r="B114" s="3" t="s">
        <v>62</v>
      </c>
      <c r="C114" s="3"/>
      <c r="D114" s="3">
        <f>IRR(D102:D112)*100</f>
        <v>43523.898062266991</v>
      </c>
    </row>
    <row r="115" spans="2:4" x14ac:dyDescent="0.2">
      <c r="B115" s="3"/>
      <c r="C115" s="3"/>
      <c r="D115" s="3"/>
    </row>
    <row r="116" spans="2:4" x14ac:dyDescent="0.2">
      <c r="B116" s="3" t="s">
        <v>100</v>
      </c>
      <c r="C116" s="3"/>
      <c r="D116" s="118">
        <f>D64/D99</f>
        <v>2.2975883239349216E-3</v>
      </c>
    </row>
    <row r="117" spans="2:4" x14ac:dyDescent="0.2">
      <c r="B117" s="3" t="s">
        <v>101</v>
      </c>
      <c r="D117" s="3"/>
    </row>
  </sheetData>
  <phoneticPr fontId="2" type="noConversion"/>
  <hyperlinks>
    <hyperlink ref="L61" r:id="rId1"/>
  </hyperlinks>
  <pageMargins left="0.75" right="0.75" top="1" bottom="1" header="0.5" footer="0.5"/>
  <pageSetup paperSize="9" orientation="portrait" r:id="rId2"/>
  <headerFooter alignWithMargins="0"/>
  <cellWatches>
    <cellWatch r="D114"/>
    <cellWatch r="D102"/>
  </cellWatches>
  <drawing r:id="rId3"/>
  <legacyDrawing r:id="rId4"/>
  <controls>
    <mc:AlternateContent xmlns:mc="http://schemas.openxmlformats.org/markup-compatibility/2006">
      <mc:Choice Requires="x14">
        <control shapeId="2049" r:id="rId5" name="ScrollBar1">
          <controlPr defaultSize="0" autoLine="0" linkedCell="Dairy_Cows" r:id="rId6">
            <anchor moveWithCells="1">
              <from>
                <xdr:col>5</xdr:col>
                <xdr:colOff>581025</xdr:colOff>
                <xdr:row>1</xdr:row>
                <xdr:rowOff>47625</xdr:rowOff>
              </from>
              <to>
                <xdr:col>10</xdr:col>
                <xdr:colOff>57150</xdr:colOff>
                <xdr:row>2</xdr:row>
                <xdr:rowOff>152400</xdr:rowOff>
              </to>
            </anchor>
          </controlPr>
        </control>
      </mc:Choice>
      <mc:Fallback>
        <control shapeId="2049" r:id="rId5" name="ScrollBar1"/>
      </mc:Fallback>
    </mc:AlternateContent>
    <mc:AlternateContent xmlns:mc="http://schemas.openxmlformats.org/markup-compatibility/2006">
      <mc:Choice Requires="x14">
        <control shapeId="2052" r:id="rId7" name="ScrollBar2">
          <controlPr defaultSize="0" autoLine="0" linkedCell="Maize_Area" r:id="rId8">
            <anchor moveWithCells="1">
              <from>
                <xdr:col>5</xdr:col>
                <xdr:colOff>581025</xdr:colOff>
                <xdr:row>3</xdr:row>
                <xdr:rowOff>95250</xdr:rowOff>
              </from>
              <to>
                <xdr:col>10</xdr:col>
                <xdr:colOff>38100</xdr:colOff>
                <xdr:row>4</xdr:row>
                <xdr:rowOff>95250</xdr:rowOff>
              </to>
            </anchor>
          </controlPr>
        </control>
      </mc:Choice>
      <mc:Fallback>
        <control shapeId="2052" r:id="rId7" name="ScrollBar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A98"/>
  <sheetViews>
    <sheetView workbookViewId="0">
      <selection activeCell="C13" sqref="C13"/>
    </sheetView>
  </sheetViews>
  <sheetFormatPr defaultRowHeight="15" x14ac:dyDescent="0.25"/>
  <cols>
    <col min="1" max="1" width="31.28515625" style="21" bestFit="1" customWidth="1"/>
    <col min="2" max="2" width="11.5703125" style="21" bestFit="1" customWidth="1"/>
    <col min="3" max="3" width="9.5703125" style="21" bestFit="1" customWidth="1"/>
    <col min="4" max="4" width="19.85546875" style="21" bestFit="1" customWidth="1"/>
    <col min="5" max="9" width="9.140625" style="21"/>
    <col min="10" max="10" width="30.7109375" style="21" customWidth="1"/>
    <col min="11" max="11" width="9.28515625" style="21" bestFit="1" customWidth="1"/>
    <col min="12" max="12" width="11.5703125" style="21" bestFit="1" customWidth="1"/>
    <col min="13" max="16384" width="9.140625" style="21"/>
  </cols>
  <sheetData>
    <row r="1" spans="1:7" x14ac:dyDescent="0.25">
      <c r="A1" s="129" t="s">
        <v>142</v>
      </c>
      <c r="B1" s="129"/>
      <c r="C1" s="129"/>
      <c r="D1" s="129"/>
      <c r="E1" s="129"/>
      <c r="F1" s="129"/>
      <c r="G1" s="129"/>
    </row>
    <row r="2" spans="1:7" x14ac:dyDescent="0.25">
      <c r="A2" s="129"/>
      <c r="B2" s="129"/>
      <c r="C2" s="129"/>
      <c r="D2" s="129"/>
      <c r="E2" s="129"/>
      <c r="F2" s="129"/>
      <c r="G2" s="129"/>
    </row>
    <row r="3" spans="1:7" x14ac:dyDescent="0.25">
      <c r="A3" s="129"/>
      <c r="B3" s="129"/>
      <c r="C3" s="129"/>
      <c r="D3" s="129"/>
      <c r="E3" s="129"/>
      <c r="F3" s="129"/>
      <c r="G3" s="129"/>
    </row>
    <row r="4" spans="1:7" x14ac:dyDescent="0.25">
      <c r="A4" s="129"/>
      <c r="B4" s="129"/>
      <c r="C4" s="129"/>
      <c r="D4" s="129"/>
      <c r="E4" s="129"/>
      <c r="F4" s="129"/>
      <c r="G4" s="129"/>
    </row>
    <row r="5" spans="1:7" x14ac:dyDescent="0.25">
      <c r="A5" s="109"/>
      <c r="B5" s="109"/>
      <c r="C5" s="92"/>
      <c r="D5" s="92"/>
      <c r="E5" s="92"/>
      <c r="F5" s="92"/>
      <c r="G5" s="92"/>
    </row>
    <row r="6" spans="1:7" x14ac:dyDescent="0.25">
      <c r="A6" s="109"/>
      <c r="B6" s="109"/>
      <c r="C6" s="92"/>
      <c r="D6" s="92"/>
      <c r="E6" s="92"/>
      <c r="F6" s="92"/>
      <c r="G6" s="92"/>
    </row>
    <row r="7" spans="1:7" x14ac:dyDescent="0.25">
      <c r="A7" s="109" t="s">
        <v>141</v>
      </c>
      <c r="B7" s="109" t="s">
        <v>140</v>
      </c>
      <c r="C7" s="95" t="s">
        <v>139</v>
      </c>
      <c r="D7" s="92"/>
      <c r="E7" s="92"/>
      <c r="F7" s="92"/>
      <c r="G7" s="92"/>
    </row>
    <row r="8" spans="1:7" x14ac:dyDescent="0.25">
      <c r="A8" s="102" t="s">
        <v>44</v>
      </c>
      <c r="B8" s="117">
        <v>75000</v>
      </c>
      <c r="C8" s="102" t="s">
        <v>143</v>
      </c>
      <c r="D8" s="92"/>
      <c r="E8" s="92"/>
      <c r="F8" s="92"/>
      <c r="G8" s="92"/>
    </row>
    <row r="9" spans="1:7" x14ac:dyDescent="0.25">
      <c r="A9" s="102" t="s">
        <v>108</v>
      </c>
      <c r="B9" s="114">
        <f>Calcs!D64</f>
        <v>6500</v>
      </c>
      <c r="C9" s="102" t="s">
        <v>27</v>
      </c>
      <c r="D9" s="92"/>
      <c r="E9" s="113" t="s">
        <v>135</v>
      </c>
      <c r="F9" s="92"/>
      <c r="G9" s="92"/>
    </row>
    <row r="10" spans="1:7" x14ac:dyDescent="0.25">
      <c r="A10" s="102" t="str">
        <f>Calcs!B23</f>
        <v>Cost of Energy Crop</v>
      </c>
      <c r="B10" s="116">
        <v>25</v>
      </c>
      <c r="C10" s="102" t="s">
        <v>138</v>
      </c>
      <c r="D10" s="92"/>
      <c r="E10" s="92"/>
      <c r="F10" s="92"/>
      <c r="G10" s="92"/>
    </row>
    <row r="11" spans="1:7" x14ac:dyDescent="0.25">
      <c r="A11" s="102" t="s">
        <v>105</v>
      </c>
      <c r="B11" s="114">
        <f>'[1]SKM Economies of Scale'!C18</f>
        <v>170.00336781142792</v>
      </c>
      <c r="C11" s="102" t="s">
        <v>136</v>
      </c>
      <c r="D11" s="92"/>
      <c r="E11" s="113" t="s">
        <v>135</v>
      </c>
      <c r="F11" s="92"/>
      <c r="G11" s="92"/>
    </row>
    <row r="12" spans="1:7" x14ac:dyDescent="0.25">
      <c r="A12" s="102" t="s">
        <v>137</v>
      </c>
      <c r="B12" s="115">
        <v>6</v>
      </c>
      <c r="C12" s="102" t="s">
        <v>99</v>
      </c>
      <c r="D12" s="92"/>
      <c r="E12" s="92"/>
      <c r="F12" s="92"/>
      <c r="G12" s="92"/>
    </row>
    <row r="13" spans="1:7" x14ac:dyDescent="0.25">
      <c r="A13" s="102" t="s">
        <v>107</v>
      </c>
      <c r="B13" s="114">
        <f>'[1]SKM Economies of Scale'!C11</f>
        <v>349.32198865361903</v>
      </c>
      <c r="C13" s="102" t="s">
        <v>136</v>
      </c>
      <c r="D13" s="92"/>
      <c r="E13" s="113" t="s">
        <v>135</v>
      </c>
      <c r="F13" s="92"/>
      <c r="G13" s="92"/>
    </row>
    <row r="14" spans="1:7" x14ac:dyDescent="0.25">
      <c r="A14" s="111"/>
      <c r="B14" s="112"/>
      <c r="C14" s="111"/>
      <c r="D14" s="92"/>
      <c r="E14" s="92"/>
      <c r="F14" s="92"/>
      <c r="G14" s="92"/>
    </row>
    <row r="15" spans="1:7" x14ac:dyDescent="0.25">
      <c r="A15" s="102" t="s">
        <v>110</v>
      </c>
      <c r="B15" s="110">
        <v>0.35</v>
      </c>
      <c r="C15" s="92"/>
      <c r="D15" s="92"/>
      <c r="E15" s="92"/>
      <c r="F15" s="92"/>
      <c r="G15" s="92"/>
    </row>
    <row r="16" spans="1:7" x14ac:dyDescent="0.25">
      <c r="A16" s="109"/>
      <c r="B16" s="109"/>
      <c r="C16" s="92"/>
      <c r="D16" s="92"/>
      <c r="E16" s="92"/>
      <c r="F16" s="92"/>
      <c r="G16" s="92"/>
    </row>
    <row r="17" spans="1:27" x14ac:dyDescent="0.25">
      <c r="A17" s="109"/>
      <c r="B17" s="109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  <c r="AA17" s="92"/>
    </row>
    <row r="18" spans="1:27" x14ac:dyDescent="0.25">
      <c r="A18" s="109"/>
      <c r="B18" s="109"/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  <c r="AA18" s="92"/>
    </row>
    <row r="19" spans="1:27" x14ac:dyDescent="0.25">
      <c r="A19" s="109"/>
      <c r="B19" s="109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  <c r="AA19" s="92"/>
    </row>
    <row r="20" spans="1:27" x14ac:dyDescent="0.25">
      <c r="A20" s="109"/>
      <c r="B20" s="109"/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</row>
    <row r="21" spans="1:27" x14ac:dyDescent="0.25">
      <c r="A21" s="92"/>
      <c r="B21" s="108"/>
      <c r="C21" s="9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</row>
    <row r="22" spans="1:27" ht="15.75" thickBot="1" x14ac:dyDescent="0.3">
      <c r="A22" s="107" t="s">
        <v>134</v>
      </c>
      <c r="B22" s="107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</row>
    <row r="23" spans="1:27" x14ac:dyDescent="0.25">
      <c r="A23" s="106" t="s">
        <v>133</v>
      </c>
      <c r="B23" s="105">
        <v>0.1</v>
      </c>
      <c r="C23" s="92"/>
      <c r="D23" s="104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</row>
    <row r="25" spans="1:27" x14ac:dyDescent="0.25">
      <c r="A25" s="92"/>
      <c r="B25" s="95" t="s">
        <v>132</v>
      </c>
      <c r="C25" s="92"/>
      <c r="D25" s="103" t="s">
        <v>131</v>
      </c>
      <c r="E25" s="92"/>
      <c r="F25" s="92"/>
      <c r="G25" s="92"/>
      <c r="H25" s="92"/>
      <c r="I25" s="102" t="s">
        <v>130</v>
      </c>
      <c r="J25" s="92"/>
      <c r="K25" s="95" t="s">
        <v>129</v>
      </c>
      <c r="L25" s="92"/>
      <c r="M25" s="92"/>
      <c r="N25" s="92"/>
      <c r="O25" s="92"/>
      <c r="P25" s="92"/>
      <c r="Q25" s="92"/>
      <c r="R25" s="92"/>
      <c r="S25" s="92"/>
      <c r="T25" s="95" t="s">
        <v>128</v>
      </c>
      <c r="U25" s="92"/>
      <c r="V25" s="92"/>
      <c r="W25" s="92"/>
      <c r="X25" s="92"/>
      <c r="Y25" s="92"/>
      <c r="Z25" s="92"/>
      <c r="AA25" s="92"/>
    </row>
    <row r="26" spans="1:27" s="124" customFormat="1" ht="75" x14ac:dyDescent="0.25">
      <c r="A26" s="122" t="s">
        <v>127</v>
      </c>
      <c r="B26" s="122" t="str">
        <f>A8</f>
        <v>Crop Yield</v>
      </c>
      <c r="C26" s="122" t="str">
        <f>A9</f>
        <v>Digester CAPEX</v>
      </c>
      <c r="D26" s="122" t="str">
        <f>A10</f>
        <v>Cost of Energy Crop</v>
      </c>
      <c r="E26" s="122" t="str">
        <f>A11</f>
        <v>O&amp;M Cost</v>
      </c>
      <c r="F26" s="122" t="str">
        <f>A12</f>
        <v>Electricity Price</v>
      </c>
      <c r="G26" s="122" t="str">
        <f>A13</f>
        <v>Reciprocating Gas Engine CAPEX</v>
      </c>
      <c r="H26" s="122"/>
      <c r="I26" s="122" t="str">
        <f>A15</f>
        <v>Engine Electrical Efficiency</v>
      </c>
      <c r="J26" s="122"/>
      <c r="K26" s="122" t="str">
        <f t="shared" ref="K26:P26" si="0">B26</f>
        <v>Crop Yield</v>
      </c>
      <c r="L26" s="122" t="str">
        <f t="shared" si="0"/>
        <v>Digester CAPEX</v>
      </c>
      <c r="M26" s="122" t="str">
        <f t="shared" si="0"/>
        <v>Cost of Energy Crop</v>
      </c>
      <c r="N26" s="122" t="str">
        <f t="shared" si="0"/>
        <v>O&amp;M Cost</v>
      </c>
      <c r="O26" s="122" t="str">
        <f t="shared" si="0"/>
        <v>Electricity Price</v>
      </c>
      <c r="P26" s="122" t="str">
        <f t="shared" si="0"/>
        <v>Reciprocating Gas Engine CAPEX</v>
      </c>
      <c r="Q26" s="122"/>
      <c r="R26" s="122" t="str">
        <f>I26</f>
        <v>Engine Electrical Efficiency</v>
      </c>
      <c r="S26" s="123"/>
      <c r="T26" s="122" t="str">
        <f t="shared" ref="T26:Y26" si="1">B26</f>
        <v>Crop Yield</v>
      </c>
      <c r="U26" s="122" t="str">
        <f t="shared" si="1"/>
        <v>Digester CAPEX</v>
      </c>
      <c r="V26" s="122" t="str">
        <f t="shared" si="1"/>
        <v>Cost of Energy Crop</v>
      </c>
      <c r="W26" s="122" t="str">
        <f t="shared" si="1"/>
        <v>O&amp;M Cost</v>
      </c>
      <c r="X26" s="122" t="str">
        <f t="shared" si="1"/>
        <v>Electricity Price</v>
      </c>
      <c r="Y26" s="122" t="str">
        <f t="shared" si="1"/>
        <v>Reciprocating Gas Engine CAPEX</v>
      </c>
      <c r="Z26" s="122"/>
      <c r="AA26" s="122" t="str">
        <f>I26</f>
        <v>Engine Electrical Efficiency</v>
      </c>
    </row>
    <row r="27" spans="1:27" x14ac:dyDescent="0.25">
      <c r="A27" s="94">
        <f>(-$B$23/10)*10</f>
        <v>-0.1</v>
      </c>
      <c r="B27" s="66">
        <f t="shared" ref="B27:I36" si="2">B$37*(1+$A27)</f>
        <v>67500</v>
      </c>
      <c r="C27" s="66">
        <f t="shared" si="2"/>
        <v>5850</v>
      </c>
      <c r="D27" s="66">
        <f t="shared" si="2"/>
        <v>0</v>
      </c>
      <c r="E27" s="66">
        <f t="shared" si="2"/>
        <v>153.00303103028514</v>
      </c>
      <c r="F27" s="66">
        <f t="shared" si="2"/>
        <v>5.4</v>
      </c>
      <c r="G27" s="66">
        <f t="shared" si="2"/>
        <v>314.38978978825713</v>
      </c>
      <c r="H27" s="66">
        <f t="shared" si="2"/>
        <v>0</v>
      </c>
      <c r="I27" s="66">
        <f t="shared" si="2"/>
        <v>0.315</v>
      </c>
      <c r="J27" s="92"/>
      <c r="K27" s="58">
        <v>-1.9931791864926535E-5</v>
      </c>
      <c r="L27" s="58">
        <v>-1.6144913066844737E-5</v>
      </c>
      <c r="M27" s="58">
        <v>6.0270195050103332E-4</v>
      </c>
      <c r="N27" s="58">
        <v>6.0159484718536147E-4</v>
      </c>
      <c r="O27" s="58">
        <v>6.1128799051770623E-4</v>
      </c>
      <c r="P27" s="58">
        <v>6.027191224938879E-4</v>
      </c>
      <c r="Q27" s="58"/>
      <c r="R27" s="58">
        <v>6.7002721524577586E-4</v>
      </c>
      <c r="S27" s="92"/>
      <c r="T27" s="93" t="str">
        <f t="shared" ref="T27:T47" si="3">IF(K27 &lt; 0, "-", (K27-K$37)/K$37)</f>
        <v>-</v>
      </c>
      <c r="U27" s="93" t="str">
        <f t="shared" ref="U27:U47" si="4">IF(L27 &lt; 0, "-", (L27-L$37)/L$37)</f>
        <v>-</v>
      </c>
      <c r="V27" s="93">
        <f t="shared" ref="V27:V47" si="5">IF(M27 &lt; 0, "-", (M27-M$37)/M$37)</f>
        <v>0</v>
      </c>
      <c r="W27" s="93">
        <f t="shared" ref="W27:W47" si="6">IF(N27 &lt; 0, "-", (N27-N$37)/N$37)</f>
        <v>-1.5734360573341851E-6</v>
      </c>
      <c r="X27" s="93">
        <f t="shared" ref="X27:X47" si="7">IF(O27 &lt; 0, "-", (O27-O$37)/O$37)</f>
        <v>1.4245913771367804E-2</v>
      </c>
      <c r="Y27" s="93">
        <f t="shared" ref="Y27:Y47" si="8">IF(P27 &lt; 0, "-", (P27-P$37)/P$37)</f>
        <v>-3.2391247824074736E-6</v>
      </c>
      <c r="Z27" s="93"/>
      <c r="AA27" s="93">
        <f t="shared" ref="AA27:AA47" si="9">IF(R27 = "-", "-", (R27-R$37)/R$37)</f>
        <v>0.1115422056122209</v>
      </c>
    </row>
    <row r="28" spans="1:27" x14ac:dyDescent="0.25">
      <c r="A28" s="94">
        <f>(-$B$23/10)*9</f>
        <v>-0.09</v>
      </c>
      <c r="B28" s="66">
        <f t="shared" si="2"/>
        <v>68250</v>
      </c>
      <c r="C28" s="66">
        <f t="shared" si="2"/>
        <v>5915</v>
      </c>
      <c r="D28" s="66">
        <f t="shared" si="2"/>
        <v>0</v>
      </c>
      <c r="E28" s="66">
        <f t="shared" si="2"/>
        <v>154.70306470839941</v>
      </c>
      <c r="F28" s="66">
        <f t="shared" si="2"/>
        <v>5.46</v>
      </c>
      <c r="G28" s="66">
        <f t="shared" si="2"/>
        <v>317.88300967479336</v>
      </c>
      <c r="H28" s="66">
        <f t="shared" si="2"/>
        <v>0</v>
      </c>
      <c r="I28" s="66">
        <f t="shared" si="2"/>
        <v>0.31850000000000001</v>
      </c>
      <c r="J28" s="92"/>
      <c r="K28" s="58">
        <v>-1.9712741027026694E-5</v>
      </c>
      <c r="L28" s="58">
        <v>-1.632430098980968E-5</v>
      </c>
      <c r="M28" s="58">
        <v>6.0270195050103332E-4</v>
      </c>
      <c r="N28" s="58">
        <v>6.0159494184229957E-4</v>
      </c>
      <c r="O28" s="58">
        <v>6.1041839373754208E-4</v>
      </c>
      <c r="P28" s="58">
        <v>6.0271931772213239E-4</v>
      </c>
      <c r="Q28" s="58"/>
      <c r="R28" s="58">
        <v>6.6263597118578865E-4</v>
      </c>
      <c r="S28" s="92"/>
      <c r="T28" s="93" t="str">
        <f t="shared" si="3"/>
        <v>-</v>
      </c>
      <c r="U28" s="93" t="str">
        <f t="shared" si="4"/>
        <v>-</v>
      </c>
      <c r="V28" s="93">
        <f t="shared" si="5"/>
        <v>0</v>
      </c>
      <c r="W28" s="93">
        <f t="shared" si="6"/>
        <v>-1.4160929723494502E-6</v>
      </c>
      <c r="X28" s="93">
        <f t="shared" si="7"/>
        <v>1.280308323225764E-2</v>
      </c>
      <c r="Y28" s="93">
        <f t="shared" si="8"/>
        <v>-2.9152133536312561E-6</v>
      </c>
      <c r="Z28" s="93"/>
      <c r="AA28" s="93">
        <f t="shared" si="9"/>
        <v>9.9280495135814689E-2</v>
      </c>
    </row>
    <row r="29" spans="1:27" x14ac:dyDescent="0.25">
      <c r="A29" s="94">
        <f>(-$B$23/10)*8</f>
        <v>-0.08</v>
      </c>
      <c r="B29" s="66">
        <f t="shared" si="2"/>
        <v>69000</v>
      </c>
      <c r="C29" s="66">
        <f t="shared" si="2"/>
        <v>5980</v>
      </c>
      <c r="D29" s="66">
        <f t="shared" si="2"/>
        <v>0</v>
      </c>
      <c r="E29" s="66">
        <f t="shared" si="2"/>
        <v>156.4030983865137</v>
      </c>
      <c r="F29" s="66">
        <f t="shared" si="2"/>
        <v>5.5200000000000005</v>
      </c>
      <c r="G29" s="66">
        <f t="shared" si="2"/>
        <v>321.37622956132952</v>
      </c>
      <c r="H29" s="66">
        <f t="shared" si="2"/>
        <v>0</v>
      </c>
      <c r="I29" s="66">
        <f t="shared" si="2"/>
        <v>0.32200000000000001</v>
      </c>
      <c r="J29" s="92"/>
      <c r="K29" s="58">
        <v>-1.9498511088198769E-5</v>
      </c>
      <c r="L29" s="58">
        <v>-1.6503688912774623E-5</v>
      </c>
      <c r="M29" s="58">
        <v>6.0270195050103332E-4</v>
      </c>
      <c r="N29" s="58">
        <v>6.015950364992676E-4</v>
      </c>
      <c r="O29" s="58">
        <v>6.0955126755833351E-4</v>
      </c>
      <c r="P29" s="58">
        <v>6.027195129505034E-4</v>
      </c>
      <c r="Q29" s="58"/>
      <c r="R29" s="58">
        <v>6.5540603036647082E-4</v>
      </c>
      <c r="S29" s="92"/>
      <c r="T29" s="93" t="str">
        <f t="shared" si="3"/>
        <v>-</v>
      </c>
      <c r="U29" s="93" t="str">
        <f t="shared" si="4"/>
        <v>-</v>
      </c>
      <c r="V29" s="93">
        <f t="shared" si="5"/>
        <v>0</v>
      </c>
      <c r="W29" s="93">
        <f t="shared" si="6"/>
        <v>-1.2587498376237095E-6</v>
      </c>
      <c r="X29" s="93">
        <f t="shared" si="7"/>
        <v>1.136435190164271E-2</v>
      </c>
      <c r="Y29" s="93">
        <f t="shared" si="8"/>
        <v>-2.5913017149297535E-6</v>
      </c>
      <c r="Z29" s="93"/>
      <c r="AA29" s="93">
        <f t="shared" si="9"/>
        <v>8.7286378804581025E-2</v>
      </c>
    </row>
    <row r="30" spans="1:27" x14ac:dyDescent="0.25">
      <c r="A30" s="94">
        <f>(-$B$23/10)*7</f>
        <v>-7.0000000000000007E-2</v>
      </c>
      <c r="B30" s="66">
        <f t="shared" si="2"/>
        <v>69750</v>
      </c>
      <c r="C30" s="66">
        <f t="shared" si="2"/>
        <v>6045</v>
      </c>
      <c r="D30" s="66">
        <f t="shared" si="2"/>
        <v>0</v>
      </c>
      <c r="E30" s="66">
        <f t="shared" si="2"/>
        <v>158.10313206462794</v>
      </c>
      <c r="F30" s="66">
        <f t="shared" si="2"/>
        <v>5.58</v>
      </c>
      <c r="G30" s="66">
        <f t="shared" si="2"/>
        <v>324.86944944786569</v>
      </c>
      <c r="H30" s="66">
        <f t="shared" si="2"/>
        <v>0</v>
      </c>
      <c r="I30" s="66">
        <f t="shared" si="2"/>
        <v>0.32549999999999996</v>
      </c>
      <c r="J30" s="92"/>
      <c r="K30" s="58">
        <v>-1.9288887415549589E-5</v>
      </c>
      <c r="L30" s="58">
        <v>-1.6683076835739563E-5</v>
      </c>
      <c r="M30" s="58">
        <v>6.0270195050103332E-4</v>
      </c>
      <c r="N30" s="58">
        <v>6.0159513115626523E-4</v>
      </c>
      <c r="O30" s="58">
        <v>6.0868660146622393E-4</v>
      </c>
      <c r="P30" s="58">
        <v>6.0271970817900073E-4</v>
      </c>
      <c r="Q30" s="58"/>
      <c r="R30" s="58">
        <v>6.4833216911054593E-4</v>
      </c>
      <c r="S30" s="92"/>
      <c r="T30" s="93" t="str">
        <f t="shared" si="3"/>
        <v>-</v>
      </c>
      <c r="U30" s="93" t="str">
        <f t="shared" si="4"/>
        <v>-</v>
      </c>
      <c r="V30" s="93">
        <f t="shared" si="5"/>
        <v>0</v>
      </c>
      <c r="W30" s="93">
        <f t="shared" si="6"/>
        <v>-1.1014066536976259E-6</v>
      </c>
      <c r="X30" s="93">
        <f t="shared" si="7"/>
        <v>9.9297023349858033E-3</v>
      </c>
      <c r="Y30" s="93">
        <f t="shared" si="8"/>
        <v>-2.2673898666627346E-6</v>
      </c>
      <c r="Z30" s="93"/>
      <c r="AA30" s="93">
        <f t="shared" si="9"/>
        <v>7.5551190794760623E-2</v>
      </c>
    </row>
    <row r="31" spans="1:27" x14ac:dyDescent="0.25">
      <c r="A31" s="94">
        <f>(-$B$23/10)*6</f>
        <v>-0.06</v>
      </c>
      <c r="B31" s="66">
        <f t="shared" si="2"/>
        <v>70500</v>
      </c>
      <c r="C31" s="66">
        <f t="shared" si="2"/>
        <v>6110</v>
      </c>
      <c r="D31" s="66">
        <f t="shared" si="2"/>
        <v>0</v>
      </c>
      <c r="E31" s="66">
        <f t="shared" si="2"/>
        <v>159.80316574274224</v>
      </c>
      <c r="F31" s="66">
        <f t="shared" si="2"/>
        <v>5.64</v>
      </c>
      <c r="G31" s="66">
        <f t="shared" si="2"/>
        <v>328.36266933440186</v>
      </c>
      <c r="H31" s="66">
        <f t="shared" si="2"/>
        <v>0</v>
      </c>
      <c r="I31" s="66">
        <f t="shared" si="2"/>
        <v>0.32899999999999996</v>
      </c>
      <c r="J31" s="92"/>
      <c r="K31" s="58">
        <v>-1.9083723026765571E-5</v>
      </c>
      <c r="L31" s="58">
        <v>-1.6862464758704505E-5</v>
      </c>
      <c r="M31" s="58">
        <v>6.0270195050103332E-4</v>
      </c>
      <c r="N31" s="58">
        <v>6.0159522581329267E-4</v>
      </c>
      <c r="O31" s="58">
        <v>6.0782438500692898E-4</v>
      </c>
      <c r="P31" s="58">
        <v>6.0271990340762457E-4</v>
      </c>
      <c r="Q31" s="58"/>
      <c r="R31" s="58">
        <v>6.4140938689823286E-4</v>
      </c>
      <c r="S31" s="92"/>
      <c r="T31" s="93" t="str">
        <f t="shared" si="3"/>
        <v>-</v>
      </c>
      <c r="U31" s="93" t="str">
        <f t="shared" si="4"/>
        <v>-</v>
      </c>
      <c r="V31" s="93">
        <f t="shared" si="5"/>
        <v>0</v>
      </c>
      <c r="W31" s="93">
        <f t="shared" si="6"/>
        <v>-9.4406342021075754E-7</v>
      </c>
      <c r="X31" s="93">
        <f t="shared" si="7"/>
        <v>8.4991171865916714E-3</v>
      </c>
      <c r="Y31" s="93">
        <f t="shared" si="8"/>
        <v>-1.9434778084704307E-6</v>
      </c>
      <c r="Z31" s="93"/>
      <c r="AA31" s="93">
        <f t="shared" si="9"/>
        <v>6.4066635489906487E-2</v>
      </c>
    </row>
    <row r="32" spans="1:27" x14ac:dyDescent="0.25">
      <c r="A32" s="94">
        <f>(-$B$23/10)*5</f>
        <v>-0.05</v>
      </c>
      <c r="B32" s="66">
        <f t="shared" si="2"/>
        <v>71250</v>
      </c>
      <c r="C32" s="66">
        <f t="shared" si="2"/>
        <v>6175</v>
      </c>
      <c r="D32" s="66">
        <f t="shared" si="2"/>
        <v>0</v>
      </c>
      <c r="E32" s="66">
        <f t="shared" si="2"/>
        <v>161.5031994208565</v>
      </c>
      <c r="F32" s="66">
        <f t="shared" si="2"/>
        <v>5.6999999999999993</v>
      </c>
      <c r="G32" s="66">
        <f t="shared" si="2"/>
        <v>331.85588922093808</v>
      </c>
      <c r="H32" s="66">
        <f t="shared" si="2"/>
        <v>0</v>
      </c>
      <c r="I32" s="66">
        <f t="shared" si="2"/>
        <v>0.33249999999999996</v>
      </c>
      <c r="J32" s="92"/>
      <c r="K32" s="58">
        <v>-1.8882822271477236E-5</v>
      </c>
      <c r="L32" s="58">
        <v>-1.7041852681669445E-5</v>
      </c>
      <c r="M32" s="58">
        <v>6.0270195050103332E-4</v>
      </c>
      <c r="N32" s="58">
        <v>6.0159532047034993E-4</v>
      </c>
      <c r="O32" s="58">
        <v>6.0696460778531544E-4</v>
      </c>
      <c r="P32" s="58">
        <v>6.0272009863637506E-4</v>
      </c>
      <c r="Q32" s="58"/>
      <c r="R32" s="58">
        <v>6.3463289457581457E-4</v>
      </c>
      <c r="S32" s="92"/>
      <c r="T32" s="93" t="str">
        <f t="shared" si="3"/>
        <v>-</v>
      </c>
      <c r="U32" s="93" t="str">
        <f t="shared" si="4"/>
        <v>-</v>
      </c>
      <c r="V32" s="93">
        <f t="shared" si="5"/>
        <v>0</v>
      </c>
      <c r="W32" s="93">
        <f t="shared" si="6"/>
        <v>-7.8672013716310404E-7</v>
      </c>
      <c r="X32" s="93">
        <f t="shared" si="7"/>
        <v>7.0725792089083497E-3</v>
      </c>
      <c r="Y32" s="93">
        <f t="shared" si="8"/>
        <v>-1.6195655401729572E-6</v>
      </c>
      <c r="Z32" s="93"/>
      <c r="AA32" s="93">
        <f t="shared" si="9"/>
        <v>5.2824767919479314E-2</v>
      </c>
    </row>
    <row r="33" spans="1:27" x14ac:dyDescent="0.25">
      <c r="A33" s="94">
        <f>(-$B$23/10)*4</f>
        <v>-0.04</v>
      </c>
      <c r="B33" s="66">
        <f t="shared" si="2"/>
        <v>72000</v>
      </c>
      <c r="C33" s="66">
        <f t="shared" si="2"/>
        <v>6240</v>
      </c>
      <c r="D33" s="66">
        <f t="shared" si="2"/>
        <v>0</v>
      </c>
      <c r="E33" s="66">
        <f t="shared" si="2"/>
        <v>163.2032330989708</v>
      </c>
      <c r="F33" s="66">
        <f t="shared" si="2"/>
        <v>5.76</v>
      </c>
      <c r="G33" s="66">
        <f t="shared" si="2"/>
        <v>335.34910910747425</v>
      </c>
      <c r="H33" s="66">
        <f t="shared" si="2"/>
        <v>0</v>
      </c>
      <c r="I33" s="66">
        <f t="shared" si="2"/>
        <v>0.33599999999999997</v>
      </c>
      <c r="J33" s="92"/>
      <c r="K33" s="58">
        <v>-1.8686161068495557E-5</v>
      </c>
      <c r="L33" s="58">
        <v>-1.7221240604634388E-5</v>
      </c>
      <c r="M33" s="58">
        <v>6.0270195050103332E-4</v>
      </c>
      <c r="N33" s="58">
        <v>6.01595415127437E-4</v>
      </c>
      <c r="O33" s="58">
        <v>6.0610725946498329E-4</v>
      </c>
      <c r="P33" s="58">
        <v>6.0272029386525185E-4</v>
      </c>
      <c r="Q33" s="58"/>
      <c r="R33" s="58">
        <v>6.2799810330408843E-4</v>
      </c>
      <c r="S33" s="92"/>
      <c r="T33" s="93" t="str">
        <f t="shared" si="3"/>
        <v>-</v>
      </c>
      <c r="U33" s="93" t="str">
        <f t="shared" si="4"/>
        <v>-</v>
      </c>
      <c r="V33" s="93">
        <f t="shared" si="5"/>
        <v>0</v>
      </c>
      <c r="W33" s="93">
        <f t="shared" si="6"/>
        <v>-6.2937680455466575E-7</v>
      </c>
      <c r="X33" s="93">
        <f t="shared" si="7"/>
        <v>5.650071251833662E-3</v>
      </c>
      <c r="Y33" s="93">
        <f t="shared" si="8"/>
        <v>-1.2956530623099674E-6</v>
      </c>
      <c r="Z33" s="93"/>
      <c r="AA33" s="93">
        <f t="shared" si="9"/>
        <v>4.1817975424870008E-2</v>
      </c>
    </row>
    <row r="34" spans="1:27" x14ac:dyDescent="0.25">
      <c r="A34" s="94">
        <f>(-$B$23/10)*3</f>
        <v>-0.03</v>
      </c>
      <c r="B34" s="66">
        <f t="shared" si="2"/>
        <v>72750</v>
      </c>
      <c r="C34" s="66">
        <f t="shared" si="2"/>
        <v>6305</v>
      </c>
      <c r="D34" s="66">
        <f t="shared" si="2"/>
        <v>0</v>
      </c>
      <c r="E34" s="66">
        <f t="shared" si="2"/>
        <v>164.90326677708507</v>
      </c>
      <c r="F34" s="66">
        <f t="shared" si="2"/>
        <v>5.82</v>
      </c>
      <c r="G34" s="66">
        <f t="shared" si="2"/>
        <v>338.84232899401047</v>
      </c>
      <c r="H34" s="66">
        <f t="shared" si="2"/>
        <v>0</v>
      </c>
      <c r="I34" s="66">
        <f t="shared" si="2"/>
        <v>0.33949999999999997</v>
      </c>
      <c r="J34" s="92"/>
      <c r="K34" s="58">
        <v>-1.8493554024362124E-5</v>
      </c>
      <c r="L34" s="58">
        <v>-1.7400628527599331E-5</v>
      </c>
      <c r="M34" s="58">
        <v>6.0270195050103332E-4</v>
      </c>
      <c r="N34" s="58">
        <v>6.0159550978455389E-4</v>
      </c>
      <c r="O34" s="58">
        <v>6.0525232976785172E-4</v>
      </c>
      <c r="P34" s="58">
        <v>6.0272048909425517E-4</v>
      </c>
      <c r="Q34" s="58"/>
      <c r="R34" s="58">
        <v>6.2150061419308179E-4</v>
      </c>
      <c r="S34" s="92"/>
      <c r="T34" s="93" t="str">
        <f t="shared" si="3"/>
        <v>-</v>
      </c>
      <c r="U34" s="93" t="str">
        <f t="shared" si="4"/>
        <v>-</v>
      </c>
      <c r="V34" s="93">
        <f t="shared" si="5"/>
        <v>0</v>
      </c>
      <c r="W34" s="93">
        <f t="shared" si="6"/>
        <v>-4.720334223854425E-7</v>
      </c>
      <c r="X34" s="93">
        <f t="shared" si="7"/>
        <v>4.2315762620284162E-3</v>
      </c>
      <c r="Y34" s="93">
        <f t="shared" si="8"/>
        <v>-9.7174037452169254E-7</v>
      </c>
      <c r="Z34" s="93"/>
      <c r="AA34" s="93">
        <f t="shared" si="9"/>
        <v>3.1038960463902365E-2</v>
      </c>
    </row>
    <row r="35" spans="1:27" x14ac:dyDescent="0.25">
      <c r="A35" s="94">
        <f>(-$B$23/10)*2</f>
        <v>-0.02</v>
      </c>
      <c r="B35" s="66">
        <f t="shared" si="2"/>
        <v>73500</v>
      </c>
      <c r="C35" s="66">
        <f t="shared" si="2"/>
        <v>6370</v>
      </c>
      <c r="D35" s="66">
        <f t="shared" si="2"/>
        <v>0</v>
      </c>
      <c r="E35" s="66">
        <f t="shared" si="2"/>
        <v>166.60330045519936</v>
      </c>
      <c r="F35" s="66">
        <f t="shared" si="2"/>
        <v>5.88</v>
      </c>
      <c r="G35" s="66">
        <f t="shared" si="2"/>
        <v>342.33554888054664</v>
      </c>
      <c r="H35" s="66">
        <f t="shared" si="2"/>
        <v>0</v>
      </c>
      <c r="I35" s="66">
        <f t="shared" si="2"/>
        <v>0.34299999999999997</v>
      </c>
      <c r="J35" s="92"/>
      <c r="K35" s="58">
        <v>-1.8304825504864989E-5</v>
      </c>
      <c r="L35" s="58">
        <v>-1.758001645056427E-5</v>
      </c>
      <c r="M35" s="58">
        <v>6.0270195050103332E-4</v>
      </c>
      <c r="N35" s="58">
        <v>6.0159560444170048E-4</v>
      </c>
      <c r="O35" s="58">
        <v>6.0439980847374773E-4</v>
      </c>
      <c r="P35" s="58">
        <v>6.0272068432338502E-4</v>
      </c>
      <c r="Q35" s="58"/>
      <c r="R35" s="58">
        <v>6.1513620857383167E-4</v>
      </c>
      <c r="S35" s="92"/>
      <c r="T35" s="93" t="str">
        <f t="shared" si="3"/>
        <v>-</v>
      </c>
      <c r="U35" s="93" t="str">
        <f t="shared" si="4"/>
        <v>-</v>
      </c>
      <c r="V35" s="93">
        <f t="shared" si="5"/>
        <v>0</v>
      </c>
      <c r="W35" s="93">
        <f t="shared" si="6"/>
        <v>-3.1468999083565532E-7</v>
      </c>
      <c r="X35" s="93">
        <f t="shared" si="7"/>
        <v>2.8170772822337098E-3</v>
      </c>
      <c r="Y35" s="93">
        <f t="shared" si="8"/>
        <v>-6.4782747680813232E-7</v>
      </c>
      <c r="Z35" s="93"/>
      <c r="AA35" s="93">
        <f t="shared" si="9"/>
        <v>2.0480724472193974E-2</v>
      </c>
    </row>
    <row r="36" spans="1:27" x14ac:dyDescent="0.25">
      <c r="A36" s="94">
        <f>(-$B$23/10)*1</f>
        <v>-0.01</v>
      </c>
      <c r="B36" s="66">
        <f t="shared" si="2"/>
        <v>74250</v>
      </c>
      <c r="C36" s="66">
        <f t="shared" si="2"/>
        <v>6435</v>
      </c>
      <c r="D36" s="66">
        <f t="shared" si="2"/>
        <v>0</v>
      </c>
      <c r="E36" s="66">
        <f t="shared" si="2"/>
        <v>168.30333413331363</v>
      </c>
      <c r="F36" s="66">
        <f t="shared" si="2"/>
        <v>5.9399999999999995</v>
      </c>
      <c r="G36" s="66">
        <f t="shared" si="2"/>
        <v>345.82876876708286</v>
      </c>
      <c r="H36" s="66">
        <f t="shared" si="2"/>
        <v>0</v>
      </c>
      <c r="I36" s="66">
        <f t="shared" si="2"/>
        <v>0.34649999999999997</v>
      </c>
      <c r="J36" s="92"/>
      <c r="K36" s="58">
        <v>-1.8119960571008528E-5</v>
      </c>
      <c r="L36" s="58">
        <v>-1.7759404373529213E-5</v>
      </c>
      <c r="M36" s="58">
        <v>6.0270195050103332E-4</v>
      </c>
      <c r="N36" s="58">
        <v>6.0159569909887689E-4</v>
      </c>
      <c r="O36" s="58">
        <v>6.0354968541999972E-4</v>
      </c>
      <c r="P36" s="58">
        <v>6.0272087955264128E-4</v>
      </c>
      <c r="Q36" s="58"/>
      <c r="R36" s="58">
        <v>6.0890083886200362E-4</v>
      </c>
      <c r="S36" s="92"/>
      <c r="T36" s="93" t="str">
        <f t="shared" si="3"/>
        <v>-</v>
      </c>
      <c r="U36" s="93" t="str">
        <f t="shared" si="4"/>
        <v>-</v>
      </c>
      <c r="V36" s="93">
        <f t="shared" si="5"/>
        <v>0</v>
      </c>
      <c r="W36" s="93">
        <f t="shared" si="6"/>
        <v>-1.5734650972508329E-7</v>
      </c>
      <c r="X36" s="93">
        <f t="shared" si="7"/>
        <v>1.4065574505967057E-3</v>
      </c>
      <c r="Y36" s="93">
        <f t="shared" si="8"/>
        <v>-3.2391436934917145E-7</v>
      </c>
      <c r="Z36" s="93"/>
      <c r="AA36" s="93">
        <f t="shared" si="9"/>
        <v>1.0136552706349156E-2</v>
      </c>
    </row>
    <row r="37" spans="1:27" x14ac:dyDescent="0.25">
      <c r="A37" s="94">
        <f>(-$B$23/10)*0</f>
        <v>0</v>
      </c>
      <c r="B37" s="66">
        <f>B8</f>
        <v>75000</v>
      </c>
      <c r="C37" s="101">
        <f>B9</f>
        <v>6500</v>
      </c>
      <c r="D37" s="100">
        <v>0</v>
      </c>
      <c r="E37" s="99">
        <f>B11</f>
        <v>170.00336781142792</v>
      </c>
      <c r="F37" s="99">
        <f>B12</f>
        <v>6</v>
      </c>
      <c r="G37" s="99">
        <f>B13</f>
        <v>349.32198865361903</v>
      </c>
      <c r="H37" s="99">
        <f>B14</f>
        <v>0</v>
      </c>
      <c r="I37" s="98">
        <f>B15</f>
        <v>0.35</v>
      </c>
      <c r="J37" s="97"/>
      <c r="K37" s="96">
        <v>-1.7938792296494152E-5</v>
      </c>
      <c r="L37" s="96">
        <v>-1.7938792296494152E-5</v>
      </c>
      <c r="M37" s="96">
        <v>6.0270195050103332E-4</v>
      </c>
      <c r="N37" s="96">
        <v>6.0159579375787531E-4</v>
      </c>
      <c r="O37" s="96">
        <v>6.0270195050103332E-4</v>
      </c>
      <c r="P37" s="96">
        <v>6.0272107478265811E-4</v>
      </c>
      <c r="Q37" s="96"/>
      <c r="R37" s="96">
        <v>6.0279061997176692E-4</v>
      </c>
      <c r="S37" s="95"/>
      <c r="T37" s="93" t="str">
        <f t="shared" si="3"/>
        <v>-</v>
      </c>
      <c r="U37" s="93" t="str">
        <f t="shared" si="4"/>
        <v>-</v>
      </c>
      <c r="V37" s="93">
        <f t="shared" si="5"/>
        <v>0</v>
      </c>
      <c r="W37" s="93">
        <f t="shared" si="6"/>
        <v>0</v>
      </c>
      <c r="X37" s="93">
        <f t="shared" si="7"/>
        <v>0</v>
      </c>
      <c r="Y37" s="93">
        <f t="shared" si="8"/>
        <v>0</v>
      </c>
      <c r="Z37" s="93"/>
      <c r="AA37" s="93">
        <f t="shared" si="9"/>
        <v>0</v>
      </c>
    </row>
    <row r="38" spans="1:27" x14ac:dyDescent="0.25">
      <c r="A38" s="94">
        <f>($B$23/10)*1</f>
        <v>0.01</v>
      </c>
      <c r="B38" s="66">
        <f t="shared" ref="B38:I47" si="10">B$37*(1+$A38)</f>
        <v>75750</v>
      </c>
      <c r="C38" s="66">
        <f t="shared" si="10"/>
        <v>6565</v>
      </c>
      <c r="D38" s="66">
        <f t="shared" si="10"/>
        <v>0</v>
      </c>
      <c r="E38" s="66">
        <f t="shared" si="10"/>
        <v>171.70340148954222</v>
      </c>
      <c r="F38" s="66">
        <f t="shared" si="10"/>
        <v>6.0600000000000005</v>
      </c>
      <c r="G38" s="66">
        <f t="shared" si="10"/>
        <v>352.8152085401552</v>
      </c>
      <c r="H38" s="66">
        <f t="shared" si="10"/>
        <v>0</v>
      </c>
      <c r="I38" s="66">
        <f t="shared" si="10"/>
        <v>0.35349999999999998</v>
      </c>
      <c r="J38" s="92"/>
      <c r="K38" s="58">
        <v>-1.776121089835903E-5</v>
      </c>
      <c r="L38" s="58">
        <v>-1.8118180219459095E-5</v>
      </c>
      <c r="M38" s="58">
        <v>6.0270195050103332E-4</v>
      </c>
      <c r="N38" s="58">
        <v>6.0159588841331906E-4</v>
      </c>
      <c r="O38" s="58">
        <v>6.0185659366797091E-4</v>
      </c>
      <c r="P38" s="58">
        <v>6.0272127001153317E-4</v>
      </c>
      <c r="Q38" s="58"/>
      <c r="R38" s="58">
        <v>5.9680182124163903E-4</v>
      </c>
      <c r="S38" s="92"/>
      <c r="T38" s="93" t="str">
        <f t="shared" si="3"/>
        <v>-</v>
      </c>
      <c r="U38" s="93" t="str">
        <f t="shared" si="4"/>
        <v>-</v>
      </c>
      <c r="V38" s="93">
        <f t="shared" si="5"/>
        <v>0</v>
      </c>
      <c r="W38" s="93">
        <f t="shared" si="6"/>
        <v>1.5734060099819456E-7</v>
      </c>
      <c r="X38" s="93">
        <f t="shared" si="7"/>
        <v>-1.4026117426028917E-3</v>
      </c>
      <c r="Y38" s="93">
        <f t="shared" si="8"/>
        <v>3.2391247498483676E-7</v>
      </c>
      <c r="Z38" s="93"/>
      <c r="AA38" s="93">
        <f t="shared" si="9"/>
        <v>-9.9351226308206191E-3</v>
      </c>
    </row>
    <row r="39" spans="1:27" x14ac:dyDescent="0.25">
      <c r="A39" s="94">
        <f>($B$23/10)*2</f>
        <v>0.02</v>
      </c>
      <c r="B39" s="66">
        <f t="shared" si="10"/>
        <v>76500</v>
      </c>
      <c r="C39" s="66">
        <f t="shared" si="10"/>
        <v>6630</v>
      </c>
      <c r="D39" s="66">
        <f t="shared" si="10"/>
        <v>0</v>
      </c>
      <c r="E39" s="66">
        <f t="shared" si="10"/>
        <v>173.40343516765648</v>
      </c>
      <c r="F39" s="66">
        <f t="shared" si="10"/>
        <v>6.12</v>
      </c>
      <c r="G39" s="66">
        <f t="shared" si="10"/>
        <v>356.30842842669142</v>
      </c>
      <c r="H39" s="66">
        <f t="shared" si="10"/>
        <v>0</v>
      </c>
      <c r="I39" s="66">
        <f t="shared" si="10"/>
        <v>0.35699999999999998</v>
      </c>
      <c r="J39" s="92"/>
      <c r="K39" s="58">
        <v>-1.7587063312642634E-5</v>
      </c>
      <c r="L39" s="58">
        <v>-1.8297568142424038E-5</v>
      </c>
      <c r="M39" s="58">
        <v>6.0270195050103332E-4</v>
      </c>
      <c r="N39" s="58">
        <v>6.0159598307058491E-4</v>
      </c>
      <c r="O39" s="58">
        <v>6.0101360492823442E-4</v>
      </c>
      <c r="P39" s="58">
        <v>6.027214652411689E-4</v>
      </c>
      <c r="Q39" s="58"/>
      <c r="R39" s="58">
        <v>5.9093085883704015E-4</v>
      </c>
      <c r="S39" s="92"/>
      <c r="T39" s="93" t="str">
        <f t="shared" si="3"/>
        <v>-</v>
      </c>
      <c r="U39" s="93" t="str">
        <f t="shared" si="4"/>
        <v>-</v>
      </c>
      <c r="V39" s="93">
        <f t="shared" si="5"/>
        <v>0</v>
      </c>
      <c r="W39" s="93">
        <f t="shared" si="6"/>
        <v>3.1468423079112142E-7</v>
      </c>
      <c r="X39" s="93">
        <f t="shared" si="7"/>
        <v>-2.8012943568464736E-3</v>
      </c>
      <c r="Y39" s="93">
        <f t="shared" si="8"/>
        <v>6.4782621203976869E-7</v>
      </c>
      <c r="Z39" s="93"/>
      <c r="AA39" s="93">
        <f t="shared" si="9"/>
        <v>-1.9674760591467489E-2</v>
      </c>
    </row>
    <row r="40" spans="1:27" x14ac:dyDescent="0.25">
      <c r="A40" s="94">
        <f>($B$23/10)*3</f>
        <v>0.03</v>
      </c>
      <c r="B40" s="66">
        <f t="shared" si="10"/>
        <v>77250</v>
      </c>
      <c r="C40" s="66">
        <f t="shared" si="10"/>
        <v>6695</v>
      </c>
      <c r="D40" s="66">
        <f t="shared" si="10"/>
        <v>0</v>
      </c>
      <c r="E40" s="66">
        <f t="shared" si="10"/>
        <v>175.10346884577078</v>
      </c>
      <c r="F40" s="66">
        <f t="shared" si="10"/>
        <v>6.18</v>
      </c>
      <c r="G40" s="66">
        <f t="shared" si="10"/>
        <v>359.80164831322759</v>
      </c>
      <c r="H40" s="66">
        <f t="shared" si="10"/>
        <v>0</v>
      </c>
      <c r="I40" s="66">
        <f t="shared" si="10"/>
        <v>0.36049999999999999</v>
      </c>
      <c r="J40" s="92"/>
      <c r="K40" s="58">
        <v>-1.7416344246743938E-5</v>
      </c>
      <c r="L40" s="58">
        <v>-1.8476956065388977E-5</v>
      </c>
      <c r="M40" s="58">
        <v>6.0270195050103332E-4</v>
      </c>
      <c r="N40" s="58">
        <v>6.0159607772788048E-4</v>
      </c>
      <c r="O40" s="58">
        <v>6.0017297434515192E-4</v>
      </c>
      <c r="P40" s="58">
        <v>6.0272166047093106E-4</v>
      </c>
      <c r="Q40" s="58"/>
      <c r="R40" s="58">
        <v>5.8517428859703358E-4</v>
      </c>
      <c r="S40" s="92"/>
      <c r="T40" s="93" t="str">
        <f t="shared" si="3"/>
        <v>-</v>
      </c>
      <c r="U40" s="93" t="str">
        <f t="shared" si="4"/>
        <v>-</v>
      </c>
      <c r="V40" s="93">
        <f t="shared" si="5"/>
        <v>0</v>
      </c>
      <c r="W40" s="93">
        <f t="shared" si="6"/>
        <v>4.7202790996461209E-7</v>
      </c>
      <c r="X40" s="93">
        <f t="shared" si="7"/>
        <v>-4.19606432960609E-3</v>
      </c>
      <c r="Y40" s="93">
        <f t="shared" si="8"/>
        <v>9.7174015884010118E-7</v>
      </c>
      <c r="Z40" s="93"/>
      <c r="AA40" s="93">
        <f t="shared" si="9"/>
        <v>-2.9224627575589097E-2</v>
      </c>
    </row>
    <row r="41" spans="1:27" x14ac:dyDescent="0.25">
      <c r="A41" s="94">
        <f>($B$23/10)*4</f>
        <v>0.04</v>
      </c>
      <c r="B41" s="66">
        <f t="shared" si="10"/>
        <v>78000</v>
      </c>
      <c r="C41" s="66">
        <f t="shared" si="10"/>
        <v>6760</v>
      </c>
      <c r="D41" s="66">
        <f t="shared" si="10"/>
        <v>0</v>
      </c>
      <c r="E41" s="66">
        <f t="shared" si="10"/>
        <v>176.80350252388504</v>
      </c>
      <c r="F41" s="66">
        <f t="shared" si="10"/>
        <v>6.24</v>
      </c>
      <c r="G41" s="66">
        <f t="shared" si="10"/>
        <v>363.29486819976381</v>
      </c>
      <c r="H41" s="66">
        <f t="shared" si="10"/>
        <v>0</v>
      </c>
      <c r="I41" s="66">
        <f t="shared" si="10"/>
        <v>0.36399999999999999</v>
      </c>
      <c r="J41" s="92"/>
      <c r="K41" s="58">
        <v>-1.724890768522344E-5</v>
      </c>
      <c r="L41" s="58">
        <v>-1.865634398835392E-5</v>
      </c>
      <c r="M41" s="58">
        <v>6.0270195050103332E-4</v>
      </c>
      <c r="N41" s="58">
        <v>6.0159617238520575E-4</v>
      </c>
      <c r="O41" s="58">
        <v>5.993346920375672E-4</v>
      </c>
      <c r="P41" s="58">
        <v>6.0272185570081963E-4</v>
      </c>
      <c r="Q41" s="58"/>
      <c r="R41" s="58">
        <v>5.7952879929525102E-4</v>
      </c>
      <c r="S41" s="92"/>
      <c r="T41" s="93" t="str">
        <f t="shared" si="3"/>
        <v>-</v>
      </c>
      <c r="U41" s="93" t="str">
        <f t="shared" si="4"/>
        <v>-</v>
      </c>
      <c r="V41" s="93">
        <f t="shared" si="5"/>
        <v>0</v>
      </c>
      <c r="W41" s="93">
        <f t="shared" si="6"/>
        <v>6.2937163851866664E-7</v>
      </c>
      <c r="X41" s="93">
        <f t="shared" si="7"/>
        <v>-5.5869380556457116E-3</v>
      </c>
      <c r="Y41" s="93">
        <f t="shared" si="8"/>
        <v>1.2956543153858344E-6</v>
      </c>
      <c r="Z41" s="93"/>
      <c r="AA41" s="93">
        <f t="shared" si="9"/>
        <v>-3.8590216744921184E-2</v>
      </c>
    </row>
    <row r="42" spans="1:27" x14ac:dyDescent="0.25">
      <c r="A42" s="94">
        <f>($B$23/10)*5</f>
        <v>0.05</v>
      </c>
      <c r="B42" s="66">
        <f t="shared" si="10"/>
        <v>78750</v>
      </c>
      <c r="C42" s="66">
        <f t="shared" si="10"/>
        <v>6825</v>
      </c>
      <c r="D42" s="66">
        <f t="shared" si="10"/>
        <v>0</v>
      </c>
      <c r="E42" s="66">
        <f t="shared" si="10"/>
        <v>178.50353620199934</v>
      </c>
      <c r="F42" s="66">
        <f t="shared" si="10"/>
        <v>6.3000000000000007</v>
      </c>
      <c r="G42" s="66">
        <f t="shared" si="10"/>
        <v>366.78808808629998</v>
      </c>
      <c r="H42" s="66">
        <f t="shared" si="10"/>
        <v>0</v>
      </c>
      <c r="I42" s="66">
        <f t="shared" si="10"/>
        <v>0.36749999999999999</v>
      </c>
      <c r="J42" s="92"/>
      <c r="K42" s="58">
        <v>-1.7084614952574835E-5</v>
      </c>
      <c r="L42" s="58">
        <v>-1.8835731911318863E-5</v>
      </c>
      <c r="M42" s="58">
        <v>6.0270195050103332E-4</v>
      </c>
      <c r="N42" s="58">
        <v>6.0159626704256095E-4</v>
      </c>
      <c r="O42" s="58">
        <v>5.9849874817945225E-4</v>
      </c>
      <c r="P42" s="58">
        <v>6.0272205093083483E-4</v>
      </c>
      <c r="Q42" s="58"/>
      <c r="R42" s="58">
        <v>5.739912062872846E-4</v>
      </c>
      <c r="S42" s="92"/>
      <c r="T42" s="93" t="str">
        <f t="shared" si="3"/>
        <v>-</v>
      </c>
      <c r="U42" s="93" t="str">
        <f t="shared" si="4"/>
        <v>-</v>
      </c>
      <c r="V42" s="93">
        <f t="shared" si="5"/>
        <v>0</v>
      </c>
      <c r="W42" s="93">
        <f t="shared" si="6"/>
        <v>7.8671541681372723E-7</v>
      </c>
      <c r="X42" s="93">
        <f t="shared" si="7"/>
        <v>-6.9739318382608636E-3</v>
      </c>
      <c r="Y42" s="93">
        <f t="shared" si="8"/>
        <v>1.6195686820367375E-6</v>
      </c>
      <c r="Z42" s="93"/>
      <c r="AA42" s="93">
        <f t="shared" si="9"/>
        <v>-4.777681126795106E-2</v>
      </c>
    </row>
    <row r="43" spans="1:27" x14ac:dyDescent="0.25">
      <c r="A43" s="94">
        <f>($B$23/10)*6</f>
        <v>0.06</v>
      </c>
      <c r="B43" s="66">
        <f t="shared" si="10"/>
        <v>79500</v>
      </c>
      <c r="C43" s="66">
        <f t="shared" si="10"/>
        <v>6890</v>
      </c>
      <c r="D43" s="66">
        <f t="shared" si="10"/>
        <v>0</v>
      </c>
      <c r="E43" s="66">
        <f t="shared" si="10"/>
        <v>180.2035698801136</v>
      </c>
      <c r="F43" s="66">
        <f t="shared" si="10"/>
        <v>6.36</v>
      </c>
      <c r="G43" s="66">
        <f t="shared" si="10"/>
        <v>370.2813079728362</v>
      </c>
      <c r="H43" s="66">
        <f t="shared" si="10"/>
        <v>0</v>
      </c>
      <c r="I43" s="66">
        <f t="shared" si="10"/>
        <v>0.371</v>
      </c>
      <c r="J43" s="92"/>
      <c r="K43" s="58">
        <v>-1.6923466470413461E-5</v>
      </c>
      <c r="L43" s="58">
        <v>-1.9015119834283803E-5</v>
      </c>
      <c r="M43" s="58">
        <v>6.0270195050103332E-4</v>
      </c>
      <c r="N43" s="58">
        <v>6.0159636169994585E-4</v>
      </c>
      <c r="O43" s="58">
        <v>5.9766513299952333E-4</v>
      </c>
      <c r="P43" s="58">
        <v>6.0272224616097646E-4</v>
      </c>
      <c r="Q43" s="58"/>
      <c r="R43" s="58">
        <v>5.6855844551893732E-4</v>
      </c>
      <c r="S43" s="92"/>
      <c r="T43" s="93" t="str">
        <f t="shared" si="3"/>
        <v>-</v>
      </c>
      <c r="U43" s="93" t="str">
        <f t="shared" si="4"/>
        <v>-</v>
      </c>
      <c r="V43" s="93">
        <f t="shared" si="5"/>
        <v>0</v>
      </c>
      <c r="W43" s="93">
        <f t="shared" si="6"/>
        <v>9.4405924448935164E-7</v>
      </c>
      <c r="X43" s="93">
        <f t="shared" si="7"/>
        <v>-8.3570618899156141E-3</v>
      </c>
      <c r="Y43" s="93">
        <f t="shared" si="8"/>
        <v>1.9434832584330411E-6</v>
      </c>
      <c r="Z43" s="93"/>
      <c r="AA43" s="93">
        <f t="shared" si="9"/>
        <v>-5.6789494259935472E-2</v>
      </c>
    </row>
    <row r="44" spans="1:27" x14ac:dyDescent="0.25">
      <c r="A44" s="94">
        <f>($B$23/10)*7</f>
        <v>7.0000000000000007E-2</v>
      </c>
      <c r="B44" s="66">
        <f t="shared" si="10"/>
        <v>80250</v>
      </c>
      <c r="C44" s="66">
        <f t="shared" si="10"/>
        <v>6955</v>
      </c>
      <c r="D44" s="66">
        <f t="shared" si="10"/>
        <v>0</v>
      </c>
      <c r="E44" s="66">
        <f t="shared" si="10"/>
        <v>181.9036035582279</v>
      </c>
      <c r="F44" s="66">
        <f t="shared" si="10"/>
        <v>6.42</v>
      </c>
      <c r="G44" s="66">
        <f t="shared" si="10"/>
        <v>373.77452785937237</v>
      </c>
      <c r="H44" s="66">
        <f t="shared" si="10"/>
        <v>0</v>
      </c>
      <c r="I44" s="66">
        <f t="shared" si="10"/>
        <v>0.3745</v>
      </c>
      <c r="J44" s="92"/>
      <c r="K44" s="58">
        <v>-1.6765329607097559E-5</v>
      </c>
      <c r="L44" s="58">
        <v>-1.9194507757248745E-5</v>
      </c>
      <c r="M44" s="58">
        <v>6.0270195050103332E-4</v>
      </c>
      <c r="N44" s="58">
        <v>6.0159645635736057E-4</v>
      </c>
      <c r="O44" s="58">
        <v>5.9683383678086114E-4</v>
      </c>
      <c r="P44" s="58">
        <v>6.027224413912445E-4</v>
      </c>
      <c r="Q44" s="58"/>
      <c r="R44" s="58">
        <v>5.6322756787163765E-4</v>
      </c>
      <c r="S44" s="92"/>
      <c r="T44" s="93" t="str">
        <f t="shared" si="3"/>
        <v>-</v>
      </c>
      <c r="U44" s="93" t="str">
        <f t="shared" si="4"/>
        <v>-</v>
      </c>
      <c r="V44" s="93">
        <f t="shared" si="5"/>
        <v>0</v>
      </c>
      <c r="W44" s="93">
        <f t="shared" si="6"/>
        <v>1.1014031217257611E-6</v>
      </c>
      <c r="X44" s="93">
        <f t="shared" si="7"/>
        <v>-9.7363443328729142E-3</v>
      </c>
      <c r="Y44" s="93">
        <f t="shared" si="8"/>
        <v>2.2673980445747455E-6</v>
      </c>
      <c r="Z44" s="93"/>
      <c r="AA44" s="93">
        <f t="shared" si="9"/>
        <v>-6.5633158163579758E-2</v>
      </c>
    </row>
    <row r="45" spans="1:27" x14ac:dyDescent="0.25">
      <c r="A45" s="94">
        <f>($B$23/10)*8</f>
        <v>0.08</v>
      </c>
      <c r="B45" s="66">
        <f t="shared" si="10"/>
        <v>81000</v>
      </c>
      <c r="C45" s="66">
        <f t="shared" si="10"/>
        <v>7020.0000000000009</v>
      </c>
      <c r="D45" s="66">
        <f t="shared" si="10"/>
        <v>0</v>
      </c>
      <c r="E45" s="66">
        <f t="shared" si="10"/>
        <v>183.60363723634217</v>
      </c>
      <c r="F45" s="66">
        <f t="shared" si="10"/>
        <v>6.48</v>
      </c>
      <c r="G45" s="66">
        <f t="shared" si="10"/>
        <v>377.26774774590859</v>
      </c>
      <c r="H45" s="66">
        <f t="shared" si="10"/>
        <v>0</v>
      </c>
      <c r="I45" s="66">
        <f t="shared" si="10"/>
        <v>0.378</v>
      </c>
      <c r="J45" s="92"/>
      <c r="K45" s="58">
        <v>-1.6610120720370453E-5</v>
      </c>
      <c r="L45" s="58">
        <v>-1.9373895680213688E-5</v>
      </c>
      <c r="M45" s="58">
        <v>6.0270195050103332E-4</v>
      </c>
      <c r="N45" s="58">
        <v>6.015965510148051E-4</v>
      </c>
      <c r="O45" s="58">
        <v>5.9600484986053201E-4</v>
      </c>
      <c r="P45" s="58">
        <v>6.0272263662163907E-4</v>
      </c>
      <c r="Q45" s="58"/>
      <c r="R45" s="58">
        <v>5.5799573382309001E-4</v>
      </c>
      <c r="S45" s="92"/>
      <c r="T45" s="93" t="str">
        <f t="shared" si="3"/>
        <v>-</v>
      </c>
      <c r="U45" s="93" t="str">
        <f t="shared" si="4"/>
        <v>-</v>
      </c>
      <c r="V45" s="93">
        <f t="shared" si="5"/>
        <v>0</v>
      </c>
      <c r="W45" s="93">
        <f t="shared" si="6"/>
        <v>1.2587470485229553E-6</v>
      </c>
      <c r="X45" s="93">
        <f t="shared" si="7"/>
        <v>-1.1111795199822949E-2</v>
      </c>
      <c r="Y45" s="93">
        <f t="shared" si="8"/>
        <v>2.591313040641735E-6</v>
      </c>
      <c r="Z45" s="93"/>
      <c r="AA45" s="93">
        <f t="shared" si="9"/>
        <v>-7.431251360675617E-2</v>
      </c>
    </row>
    <row r="46" spans="1:27" x14ac:dyDescent="0.25">
      <c r="A46" s="94">
        <f>($B$23/10)*9</f>
        <v>0.09</v>
      </c>
      <c r="B46" s="66">
        <f t="shared" si="10"/>
        <v>81750</v>
      </c>
      <c r="C46" s="66">
        <f t="shared" si="10"/>
        <v>7085.0000000000009</v>
      </c>
      <c r="D46" s="66">
        <f t="shared" si="10"/>
        <v>0</v>
      </c>
      <c r="E46" s="66">
        <f t="shared" si="10"/>
        <v>185.30367091445646</v>
      </c>
      <c r="F46" s="66">
        <f t="shared" si="10"/>
        <v>6.5400000000000009</v>
      </c>
      <c r="G46" s="66">
        <f t="shared" si="10"/>
        <v>380.76096763244476</v>
      </c>
      <c r="H46" s="66">
        <f t="shared" si="10"/>
        <v>0</v>
      </c>
      <c r="I46" s="66">
        <f t="shared" si="10"/>
        <v>0.38150000000000001</v>
      </c>
      <c r="J46" s="92"/>
      <c r="K46" s="58">
        <v>-1.6457717566582266E-5</v>
      </c>
      <c r="L46" s="58">
        <v>-1.9553283603178631E-5</v>
      </c>
      <c r="M46" s="58">
        <v>6.0270195050103332E-4</v>
      </c>
      <c r="N46" s="58">
        <v>6.0159664567227935E-4</v>
      </c>
      <c r="O46" s="58">
        <v>5.9517816262921405E-4</v>
      </c>
      <c r="P46" s="58">
        <v>6.0272283185216005E-4</v>
      </c>
      <c r="Q46" s="58"/>
      <c r="R46" s="58">
        <v>5.5286020840284562E-4</v>
      </c>
      <c r="S46" s="92"/>
      <c r="T46" s="93" t="str">
        <f t="shared" si="3"/>
        <v>-</v>
      </c>
      <c r="U46" s="93" t="str">
        <f t="shared" si="4"/>
        <v>-</v>
      </c>
      <c r="V46" s="93">
        <f t="shared" si="5"/>
        <v>0</v>
      </c>
      <c r="W46" s="93">
        <f t="shared" si="6"/>
        <v>1.4160910247007134E-6</v>
      </c>
      <c r="X46" s="93">
        <f t="shared" si="7"/>
        <v>-1.2483430434503588E-2</v>
      </c>
      <c r="Y46" s="93">
        <f t="shared" si="8"/>
        <v>2.9152282464541251E-6</v>
      </c>
      <c r="Z46" s="93"/>
      <c r="AA46" s="93">
        <f t="shared" si="9"/>
        <v>-8.2832097770963842E-2</v>
      </c>
    </row>
    <row r="47" spans="1:27" x14ac:dyDescent="0.25">
      <c r="A47" s="94">
        <f>($B$23/10)*10</f>
        <v>0.1</v>
      </c>
      <c r="B47" s="66">
        <f t="shared" si="10"/>
        <v>82500</v>
      </c>
      <c r="C47" s="66">
        <f t="shared" si="10"/>
        <v>7150.0000000000009</v>
      </c>
      <c r="D47" s="66">
        <f t="shared" si="10"/>
        <v>0</v>
      </c>
      <c r="E47" s="66">
        <f t="shared" si="10"/>
        <v>187.00370459257073</v>
      </c>
      <c r="F47" s="66">
        <f t="shared" si="10"/>
        <v>6.6000000000000005</v>
      </c>
      <c r="G47" s="66">
        <f t="shared" si="10"/>
        <v>384.25418751898098</v>
      </c>
      <c r="H47" s="66">
        <f t="shared" si="10"/>
        <v>0</v>
      </c>
      <c r="I47" s="66">
        <f t="shared" si="10"/>
        <v>0.38500000000000001</v>
      </c>
      <c r="J47" s="92"/>
      <c r="K47" s="58">
        <v>-1.6308126596616332E-5</v>
      </c>
      <c r="L47" s="58">
        <v>-1.9732671526143571E-5</v>
      </c>
      <c r="M47" s="58">
        <v>6.0270195050103332E-4</v>
      </c>
      <c r="N47" s="58">
        <v>6.015967403297834E-4</v>
      </c>
      <c r="O47" s="58">
        <v>5.9435376553082639E-4</v>
      </c>
      <c r="P47" s="58">
        <v>6.0272302708280756E-4</v>
      </c>
      <c r="Q47" s="58"/>
      <c r="R47" s="58">
        <v>5.4781835642395962E-4</v>
      </c>
      <c r="S47" s="92"/>
      <c r="T47" s="93" t="str">
        <f t="shared" si="3"/>
        <v>-</v>
      </c>
      <c r="U47" s="93" t="str">
        <f t="shared" si="4"/>
        <v>-</v>
      </c>
      <c r="V47" s="93">
        <f t="shared" si="5"/>
        <v>0</v>
      </c>
      <c r="W47" s="93">
        <f t="shared" si="6"/>
        <v>1.5734350504392566E-6</v>
      </c>
      <c r="X47" s="93">
        <f t="shared" si="7"/>
        <v>-1.3851265892315419E-2</v>
      </c>
      <c r="Y47" s="93">
        <f t="shared" si="8"/>
        <v>3.2391436621918007E-6</v>
      </c>
      <c r="Z47" s="93"/>
      <c r="AA47" s="93">
        <f t="shared" si="9"/>
        <v>-9.1196282301775122E-2</v>
      </c>
    </row>
    <row r="52" spans="2:21" ht="15.75" thickBot="1" x14ac:dyDescent="0.3">
      <c r="B52" s="92"/>
      <c r="C52" s="92"/>
      <c r="D52" s="92"/>
    </row>
    <row r="53" spans="2:21" ht="15.75" thickBot="1" x14ac:dyDescent="0.3">
      <c r="B53" s="91"/>
      <c r="C53" s="130" t="s">
        <v>126</v>
      </c>
      <c r="D53" s="131"/>
      <c r="J53" s="56" t="s">
        <v>117</v>
      </c>
      <c r="K53" s="55"/>
      <c r="L53" s="55"/>
      <c r="M53" s="54"/>
      <c r="N53" s="53"/>
      <c r="P53" s="57"/>
      <c r="Q53" s="57"/>
      <c r="R53" s="57"/>
      <c r="S53" s="57"/>
      <c r="T53" s="57"/>
      <c r="U53" s="57"/>
    </row>
    <row r="54" spans="2:21" ht="15.75" thickBot="1" x14ac:dyDescent="0.3">
      <c r="B54" s="90" t="s">
        <v>117</v>
      </c>
      <c r="C54" s="89">
        <v>-0.1</v>
      </c>
      <c r="D54" s="88">
        <v>0.1</v>
      </c>
      <c r="J54" s="77" t="str">
        <f>A8</f>
        <v>Crop Yield</v>
      </c>
      <c r="K54" s="63"/>
      <c r="L54" s="63"/>
      <c r="M54" s="64"/>
      <c r="N54" s="62"/>
      <c r="P54" s="57"/>
      <c r="Q54" s="57"/>
      <c r="R54" s="57"/>
      <c r="S54" s="57"/>
      <c r="T54" s="57"/>
      <c r="U54" s="57"/>
    </row>
    <row r="55" spans="2:21" x14ac:dyDescent="0.25">
      <c r="B55" s="86" t="s">
        <v>125</v>
      </c>
      <c r="C55" s="85">
        <v>50.153051084125202</v>
      </c>
      <c r="D55" s="84">
        <v>2.6627101531543897</v>
      </c>
      <c r="J55" s="29" t="s">
        <v>115</v>
      </c>
      <c r="K55" s="27">
        <v>50</v>
      </c>
      <c r="L55" s="27">
        <v>60</v>
      </c>
      <c r="M55" s="52">
        <v>90</v>
      </c>
      <c r="N55" s="26">
        <v>100</v>
      </c>
      <c r="P55" s="57"/>
      <c r="Q55" s="57"/>
      <c r="R55" s="57"/>
      <c r="S55" s="57"/>
      <c r="T55" s="57"/>
      <c r="U55" s="57"/>
    </row>
    <row r="56" spans="2:21" x14ac:dyDescent="0.25">
      <c r="B56" s="86" t="s">
        <v>124</v>
      </c>
      <c r="C56" s="85">
        <v>116.07207857821852</v>
      </c>
      <c r="D56" s="84">
        <v>2.5871715123780579</v>
      </c>
      <c r="J56" s="29" t="s">
        <v>103</v>
      </c>
      <c r="K56" s="58">
        <v>4.3466165994430339</v>
      </c>
      <c r="L56" s="58">
        <v>3.9160583235879058</v>
      </c>
      <c r="M56" s="58">
        <v>4.8421504141771905</v>
      </c>
      <c r="N56" s="58">
        <v>4.5475546782608696</v>
      </c>
      <c r="P56" s="57"/>
      <c r="Q56" s="57"/>
      <c r="R56" s="57"/>
      <c r="S56" s="57"/>
      <c r="T56" s="57"/>
      <c r="U56" s="57"/>
    </row>
    <row r="57" spans="2:21" x14ac:dyDescent="0.25">
      <c r="B57" s="86" t="s">
        <v>123</v>
      </c>
      <c r="C57" s="85">
        <v>4.7967787270487454</v>
      </c>
      <c r="D57" s="84">
        <v>4.7967787270487454</v>
      </c>
      <c r="J57" s="77" t="str">
        <f>A9</f>
        <v>Digester CAPEX</v>
      </c>
      <c r="K57" s="63">
        <v>-0.2</v>
      </c>
      <c r="L57" s="64">
        <v>-0.1</v>
      </c>
      <c r="M57" s="63">
        <v>0.1</v>
      </c>
      <c r="N57" s="62">
        <v>0.2</v>
      </c>
      <c r="P57" s="57"/>
      <c r="Q57" s="57"/>
      <c r="R57" s="57"/>
      <c r="S57" s="57"/>
      <c r="T57" s="57"/>
      <c r="U57" s="57"/>
    </row>
    <row r="58" spans="2:21" x14ac:dyDescent="0.25">
      <c r="B58" s="86" t="s">
        <v>122</v>
      </c>
      <c r="C58" s="71">
        <v>4.2404213192489513</v>
      </c>
      <c r="D58" s="84">
        <v>5.6008251067580836</v>
      </c>
      <c r="J58" s="29" t="s">
        <v>106</v>
      </c>
      <c r="K58" s="27">
        <v>1024.6778333839491</v>
      </c>
      <c r="L58" s="52">
        <v>1152.7625625569428</v>
      </c>
      <c r="M58" s="27">
        <v>1408.93</v>
      </c>
      <c r="N58" s="26">
        <v>1537.0167500759237</v>
      </c>
      <c r="P58" s="57"/>
      <c r="Q58" s="57"/>
      <c r="R58" s="57"/>
      <c r="S58" s="57"/>
      <c r="T58" s="57"/>
      <c r="U58" s="57"/>
    </row>
    <row r="59" spans="2:21" x14ac:dyDescent="0.25">
      <c r="B59" s="86" t="s">
        <v>121</v>
      </c>
      <c r="C59" s="85">
        <v>8.0653727934184616</v>
      </c>
      <c r="D59" s="84">
        <v>3.3231908284254619</v>
      </c>
      <c r="J59" s="29" t="s">
        <v>103</v>
      </c>
      <c r="K59" s="58">
        <v>2.9171070025103472</v>
      </c>
      <c r="L59" s="58">
        <v>3.1890407061341932</v>
      </c>
      <c r="M59" s="58">
        <v>3.7329081133818853</v>
      </c>
      <c r="N59" s="58">
        <v>4.0048418170057314</v>
      </c>
      <c r="P59" s="57"/>
      <c r="Q59" s="57"/>
      <c r="R59" s="57"/>
      <c r="S59" s="57"/>
      <c r="T59" s="57"/>
      <c r="U59" s="57"/>
    </row>
    <row r="60" spans="2:21" x14ac:dyDescent="0.25">
      <c r="B60" s="86" t="s">
        <v>120</v>
      </c>
      <c r="C60" s="85">
        <v>5.0068121572467446</v>
      </c>
      <c r="D60" s="84">
        <v>4.5862695994021125</v>
      </c>
      <c r="J60" s="87" t="s">
        <v>114</v>
      </c>
      <c r="K60" s="64"/>
      <c r="L60" s="63"/>
      <c r="M60" s="63"/>
      <c r="N60" s="62"/>
      <c r="P60" s="57"/>
      <c r="Q60" s="57"/>
      <c r="R60" s="57"/>
      <c r="S60" s="57"/>
      <c r="T60" s="57"/>
      <c r="U60" s="57"/>
    </row>
    <row r="61" spans="2:21" x14ac:dyDescent="0.25">
      <c r="B61" s="86" t="s">
        <v>119</v>
      </c>
      <c r="C61" s="85">
        <v>7.0908912801981563</v>
      </c>
      <c r="D61" s="84">
        <v>3.5595496880729671</v>
      </c>
      <c r="J61" s="29" t="s">
        <v>113</v>
      </c>
      <c r="K61" s="82">
        <v>-10</v>
      </c>
      <c r="L61" s="83">
        <v>-5</v>
      </c>
      <c r="M61" s="82">
        <v>-2</v>
      </c>
      <c r="N61" s="81">
        <v>-1</v>
      </c>
      <c r="P61" s="57"/>
      <c r="Q61" s="57"/>
      <c r="R61" s="57"/>
      <c r="S61" s="57"/>
      <c r="T61" s="57"/>
      <c r="U61" s="57"/>
    </row>
    <row r="62" spans="2:21" ht="15.75" thickBot="1" x14ac:dyDescent="0.3">
      <c r="B62" s="80" t="s">
        <v>118</v>
      </c>
      <c r="C62" s="79">
        <v>5.2047482883274814</v>
      </c>
      <c r="D62" s="78">
        <v>4.4178775707879927</v>
      </c>
      <c r="J62" s="29" t="s">
        <v>103</v>
      </c>
      <c r="K62" s="58">
        <v>1.3350940736625641</v>
      </c>
      <c r="L62" s="58">
        <v>1.9268809190440088</v>
      </c>
      <c r="M62" s="58">
        <v>2.625009830168104</v>
      </c>
      <c r="N62" s="58">
        <v>2.9855784995215031</v>
      </c>
      <c r="P62" s="57"/>
      <c r="Q62" s="57"/>
      <c r="R62" s="57"/>
      <c r="S62" s="57"/>
      <c r="T62" s="57"/>
      <c r="U62" s="57"/>
    </row>
    <row r="63" spans="2:21" x14ac:dyDescent="0.25">
      <c r="B63" s="72"/>
      <c r="C63" s="71"/>
      <c r="D63" s="70"/>
      <c r="J63" s="77" t="str">
        <f>A11</f>
        <v>O&amp;M Cost</v>
      </c>
      <c r="K63" s="63">
        <v>-0.2</v>
      </c>
      <c r="L63" s="64">
        <v>-0.1</v>
      </c>
      <c r="M63" s="63">
        <v>0.1</v>
      </c>
      <c r="N63" s="62">
        <v>0.2</v>
      </c>
      <c r="P63" s="57"/>
      <c r="Q63" s="57"/>
      <c r="R63" s="57"/>
      <c r="S63" s="57"/>
      <c r="T63" s="57"/>
      <c r="U63" s="57"/>
    </row>
    <row r="64" spans="2:21" x14ac:dyDescent="0.25">
      <c r="B64" s="72"/>
      <c r="C64" s="71"/>
      <c r="D64" s="70"/>
      <c r="J64" s="29" t="s">
        <v>104</v>
      </c>
      <c r="K64" s="76">
        <v>136</v>
      </c>
      <c r="L64" s="76">
        <v>153</v>
      </c>
      <c r="M64" s="76">
        <v>187</v>
      </c>
      <c r="N64" s="76">
        <v>204</v>
      </c>
      <c r="P64" s="57"/>
      <c r="Q64" s="57"/>
      <c r="R64" s="57"/>
      <c r="S64" s="57"/>
      <c r="T64" s="57"/>
      <c r="U64" s="57"/>
    </row>
    <row r="65" spans="2:21" x14ac:dyDescent="0.25">
      <c r="B65" s="72"/>
      <c r="C65" s="71"/>
      <c r="D65" s="70"/>
      <c r="J65" s="29" t="s">
        <v>103</v>
      </c>
      <c r="K65" s="58">
        <v>3.2279607158633445</v>
      </c>
      <c r="L65" s="58">
        <v>3.3404089659994836</v>
      </c>
      <c r="M65" s="58">
        <v>3.5905688800070381</v>
      </c>
      <c r="N65" s="58">
        <v>3.7302460949588778</v>
      </c>
      <c r="P65" s="57"/>
      <c r="Q65" s="57"/>
      <c r="R65" s="57"/>
      <c r="S65" s="57"/>
      <c r="T65" s="57"/>
      <c r="U65" s="57"/>
    </row>
    <row r="66" spans="2:21" x14ac:dyDescent="0.25">
      <c r="B66" s="72"/>
      <c r="C66" s="71"/>
      <c r="D66" s="70"/>
      <c r="J66" s="75" t="s">
        <v>112</v>
      </c>
      <c r="K66" s="63"/>
      <c r="L66" s="64"/>
      <c r="M66" s="63"/>
      <c r="N66" s="62"/>
      <c r="P66" s="57"/>
      <c r="Q66" s="57"/>
      <c r="R66" s="57"/>
      <c r="S66" s="57"/>
      <c r="T66" s="57"/>
      <c r="U66" s="57"/>
    </row>
    <row r="67" spans="2:21" x14ac:dyDescent="0.25">
      <c r="B67" s="72"/>
      <c r="C67" s="71"/>
      <c r="D67" s="70"/>
      <c r="J67" s="29" t="s">
        <v>111</v>
      </c>
      <c r="K67" s="74">
        <v>2</v>
      </c>
      <c r="L67" s="74">
        <v>6</v>
      </c>
      <c r="M67" s="74">
        <v>8</v>
      </c>
      <c r="N67" s="73">
        <v>10</v>
      </c>
      <c r="P67" s="57"/>
      <c r="Q67" s="57"/>
      <c r="R67" s="57"/>
      <c r="S67" s="57"/>
      <c r="T67" s="57"/>
      <c r="U67" s="57"/>
    </row>
    <row r="68" spans="2:21" x14ac:dyDescent="0.25">
      <c r="B68" s="72"/>
      <c r="C68" s="71"/>
      <c r="D68" s="70"/>
      <c r="J68" s="29" t="s">
        <v>103</v>
      </c>
      <c r="K68" s="69">
        <v>5.9735791493229558</v>
      </c>
      <c r="L68" s="69">
        <v>5.5854188461317484</v>
      </c>
      <c r="M68" s="69">
        <v>5.3679538155763566</v>
      </c>
      <c r="N68" s="68">
        <v>4.983733978929501</v>
      </c>
      <c r="P68" s="57"/>
      <c r="Q68" s="57"/>
      <c r="R68" s="57"/>
      <c r="S68" s="57"/>
      <c r="T68" s="57"/>
      <c r="U68" s="57"/>
    </row>
    <row r="69" spans="2:21" x14ac:dyDescent="0.25">
      <c r="J69" s="67" t="str">
        <f>A13</f>
        <v>Reciprocating Gas Engine CAPEX</v>
      </c>
      <c r="K69" s="63">
        <v>-0.2</v>
      </c>
      <c r="L69" s="64">
        <v>-0.1</v>
      </c>
      <c r="M69" s="63">
        <v>0.1</v>
      </c>
      <c r="N69" s="62">
        <v>0.2</v>
      </c>
      <c r="P69" s="57"/>
      <c r="Q69" s="57"/>
      <c r="R69" s="57"/>
      <c r="S69" s="57"/>
      <c r="T69" s="57"/>
      <c r="U69" s="57"/>
    </row>
    <row r="70" spans="2:21" x14ac:dyDescent="0.25">
      <c r="J70" s="29" t="s">
        <v>106</v>
      </c>
      <c r="K70" s="66">
        <f>G$37*(1+$A44)</f>
        <v>373.77452785937237</v>
      </c>
      <c r="L70" s="66">
        <f>G$37*(1+$A45)</f>
        <v>377.26774774590859</v>
      </c>
      <c r="M70" s="66">
        <f>G$37*(1+$A46)</f>
        <v>380.76096763244476</v>
      </c>
      <c r="N70" s="66">
        <f>G$37*(1+$A47)</f>
        <v>384.25418751898098</v>
      </c>
      <c r="P70" s="57"/>
      <c r="Q70" s="57"/>
      <c r="R70" s="57"/>
      <c r="S70" s="57"/>
      <c r="T70" s="57"/>
      <c r="U70" s="57"/>
    </row>
    <row r="71" spans="2:21" x14ac:dyDescent="0.25">
      <c r="J71" s="29" t="s">
        <v>103</v>
      </c>
      <c r="K71" s="58">
        <v>3.312646935054123</v>
      </c>
      <c r="L71" s="58">
        <v>3.3868106724060811</v>
      </c>
      <c r="M71" s="58">
        <v>3.535138147109997</v>
      </c>
      <c r="N71" s="58">
        <v>3.6093018844619551</v>
      </c>
      <c r="P71" s="57"/>
      <c r="Q71" s="57"/>
      <c r="R71" s="57"/>
      <c r="S71" s="57"/>
      <c r="T71" s="57"/>
      <c r="U71" s="57"/>
    </row>
    <row r="72" spans="2:21" x14ac:dyDescent="0.25">
      <c r="J72" s="65" t="str">
        <f>A15</f>
        <v>Engine Electrical Efficiency</v>
      </c>
      <c r="K72" s="63"/>
      <c r="L72" s="64"/>
      <c r="M72" s="63"/>
      <c r="N72" s="62"/>
      <c r="P72" s="57"/>
      <c r="Q72" s="57"/>
      <c r="R72" s="57"/>
      <c r="S72" s="57"/>
      <c r="T72" s="57"/>
      <c r="U72" s="57"/>
    </row>
    <row r="73" spans="2:21" x14ac:dyDescent="0.25">
      <c r="J73" s="29" t="s">
        <v>109</v>
      </c>
      <c r="K73" s="61">
        <v>0.3</v>
      </c>
      <c r="L73" s="61">
        <v>0.32</v>
      </c>
      <c r="M73" s="61">
        <v>0.37</v>
      </c>
      <c r="N73" s="60">
        <v>0.4</v>
      </c>
      <c r="P73" s="57"/>
      <c r="Q73" s="57"/>
      <c r="R73" s="57"/>
      <c r="S73" s="57"/>
      <c r="T73" s="57"/>
      <c r="U73" s="57"/>
    </row>
    <row r="74" spans="2:21" ht="15.75" thickBot="1" x14ac:dyDescent="0.3">
      <c r="J74" s="59" t="s">
        <v>103</v>
      </c>
      <c r="K74" s="58">
        <v>4.2959427860078261</v>
      </c>
      <c r="L74" s="58">
        <v>3.9178650504101817</v>
      </c>
      <c r="M74" s="58">
        <v>3.2113115338220788</v>
      </c>
      <c r="N74" s="58">
        <v>2.8977597892409657</v>
      </c>
      <c r="P74" s="57"/>
      <c r="Q74" s="57"/>
      <c r="R74" s="57"/>
      <c r="S74" s="57"/>
      <c r="T74" s="57"/>
      <c r="U74" s="57"/>
    </row>
    <row r="75" spans="2:21" ht="15.75" thickBot="1" x14ac:dyDescent="0.3">
      <c r="P75" s="57"/>
      <c r="Q75" s="57"/>
      <c r="R75" s="57"/>
      <c r="S75" s="57"/>
      <c r="T75" s="57"/>
      <c r="U75" s="57"/>
    </row>
    <row r="76" spans="2:21" x14ac:dyDescent="0.25">
      <c r="J76" s="56" t="s">
        <v>117</v>
      </c>
      <c r="K76" s="55"/>
      <c r="L76" s="55"/>
      <c r="M76" s="54"/>
      <c r="N76" s="53"/>
    </row>
    <row r="77" spans="2:21" x14ac:dyDescent="0.25">
      <c r="J77" s="34" t="s">
        <v>116</v>
      </c>
      <c r="K77" s="31"/>
      <c r="L77" s="31"/>
      <c r="M77" s="44"/>
      <c r="N77" s="30"/>
    </row>
    <row r="78" spans="2:21" x14ac:dyDescent="0.25">
      <c r="J78" s="29" t="s">
        <v>115</v>
      </c>
      <c r="K78" s="40">
        <v>50</v>
      </c>
      <c r="L78" s="40">
        <v>60</v>
      </c>
      <c r="M78" s="52">
        <v>90</v>
      </c>
      <c r="N78" s="26">
        <v>100</v>
      </c>
    </row>
    <row r="79" spans="2:21" x14ac:dyDescent="0.25">
      <c r="J79" s="37" t="s">
        <v>103</v>
      </c>
      <c r="K79" s="36">
        <v>4.3466165994430339</v>
      </c>
      <c r="L79" s="36">
        <v>3.9160583235879058</v>
      </c>
      <c r="M79" s="36">
        <v>4.8421504141771905</v>
      </c>
      <c r="N79" s="35">
        <v>4.5475546782608696</v>
      </c>
    </row>
    <row r="80" spans="2:21" x14ac:dyDescent="0.25">
      <c r="J80" s="51" t="s">
        <v>114</v>
      </c>
      <c r="K80" s="44"/>
      <c r="L80" s="31"/>
      <c r="M80" s="31"/>
      <c r="N80" s="30"/>
    </row>
    <row r="81" spans="10:14" x14ac:dyDescent="0.25">
      <c r="J81" s="29" t="s">
        <v>113</v>
      </c>
      <c r="K81" s="40">
        <v>-10</v>
      </c>
      <c r="L81" s="39">
        <v>-5</v>
      </c>
      <c r="M81" s="40">
        <v>-2</v>
      </c>
      <c r="N81" s="50">
        <v>-1</v>
      </c>
    </row>
    <row r="82" spans="10:14" x14ac:dyDescent="0.25">
      <c r="J82" s="37" t="s">
        <v>103</v>
      </c>
      <c r="K82" s="36">
        <v>1.3350940736625641</v>
      </c>
      <c r="L82" s="36">
        <v>1.9268809190440088</v>
      </c>
      <c r="M82" s="36">
        <v>2.625009830168104</v>
      </c>
      <c r="N82" s="35">
        <v>2.9855784995215031</v>
      </c>
    </row>
    <row r="83" spans="10:14" x14ac:dyDescent="0.25">
      <c r="J83" s="49" t="s">
        <v>112</v>
      </c>
      <c r="K83" s="31"/>
      <c r="L83" s="44"/>
      <c r="M83" s="31"/>
      <c r="N83" s="30"/>
    </row>
    <row r="84" spans="10:14" x14ac:dyDescent="0.25">
      <c r="J84" s="29" t="s">
        <v>111</v>
      </c>
      <c r="K84" s="48">
        <v>2</v>
      </c>
      <c r="L84" s="27">
        <v>6</v>
      </c>
      <c r="M84" s="27">
        <v>8</v>
      </c>
      <c r="N84" s="26">
        <v>10</v>
      </c>
    </row>
    <row r="85" spans="10:14" x14ac:dyDescent="0.25">
      <c r="J85" s="37" t="s">
        <v>103</v>
      </c>
      <c r="K85" s="47">
        <v>5.9735791493229558</v>
      </c>
      <c r="L85" s="47">
        <v>5.5854188461317484</v>
      </c>
      <c r="M85" s="47">
        <v>5.3679538155763566</v>
      </c>
      <c r="N85" s="46">
        <v>4.983733978929501</v>
      </c>
    </row>
    <row r="86" spans="10:14" x14ac:dyDescent="0.25">
      <c r="J86" s="45" t="s">
        <v>110</v>
      </c>
      <c r="K86" s="31"/>
      <c r="L86" s="44"/>
      <c r="M86" s="31"/>
      <c r="N86" s="30"/>
    </row>
    <row r="87" spans="10:14" x14ac:dyDescent="0.25">
      <c r="J87" s="29" t="s">
        <v>109</v>
      </c>
      <c r="K87" s="43">
        <v>0.3</v>
      </c>
      <c r="L87" s="43">
        <v>0.32</v>
      </c>
      <c r="M87" s="42">
        <v>0.37</v>
      </c>
      <c r="N87" s="41">
        <v>0.4</v>
      </c>
    </row>
    <row r="88" spans="10:14" x14ac:dyDescent="0.25">
      <c r="J88" s="37" t="s">
        <v>103</v>
      </c>
      <c r="K88" s="36">
        <v>4.2959427860078261</v>
      </c>
      <c r="L88" s="36">
        <v>3.9178650504101817</v>
      </c>
      <c r="M88" s="36">
        <v>3.2113115338220788</v>
      </c>
      <c r="N88" s="35">
        <v>2.8977597892409657</v>
      </c>
    </row>
    <row r="89" spans="10:14" x14ac:dyDescent="0.25">
      <c r="J89" s="34" t="s">
        <v>108</v>
      </c>
      <c r="K89" s="33">
        <v>-0.2</v>
      </c>
      <c r="L89" s="32">
        <v>-0.1</v>
      </c>
      <c r="M89" s="31">
        <v>0.1</v>
      </c>
      <c r="N89" s="30">
        <v>0.2</v>
      </c>
    </row>
    <row r="90" spans="10:14" x14ac:dyDescent="0.25">
      <c r="J90" s="29" t="s">
        <v>106</v>
      </c>
      <c r="K90" s="40">
        <f>ROUND(1024.67783338395,2)</f>
        <v>1024.68</v>
      </c>
      <c r="L90" s="39">
        <v>1152.76</v>
      </c>
      <c r="M90" s="27">
        <v>1408.93</v>
      </c>
      <c r="N90" s="26">
        <v>1537.02</v>
      </c>
    </row>
    <row r="91" spans="10:14" x14ac:dyDescent="0.25">
      <c r="J91" s="37" t="s">
        <v>103</v>
      </c>
      <c r="K91" s="36">
        <v>2.9171070025103472</v>
      </c>
      <c r="L91" s="36">
        <v>3.1890407061341932</v>
      </c>
      <c r="M91" s="36">
        <v>3.7329081133818853</v>
      </c>
      <c r="N91" s="35">
        <v>4.0048418170057314</v>
      </c>
    </row>
    <row r="92" spans="10:14" x14ac:dyDescent="0.25">
      <c r="J92" s="38" t="s">
        <v>107</v>
      </c>
      <c r="K92" s="33">
        <v>-0.2</v>
      </c>
      <c r="L92" s="32">
        <v>-0.1</v>
      </c>
      <c r="M92" s="31">
        <v>0.1</v>
      </c>
      <c r="N92" s="30">
        <v>0.2</v>
      </c>
    </row>
    <row r="93" spans="10:14" x14ac:dyDescent="0.25">
      <c r="J93" s="29" t="s">
        <v>106</v>
      </c>
      <c r="K93" s="28">
        <f>G$37*(1+$A67)</f>
        <v>349.32198865361903</v>
      </c>
      <c r="L93" s="28">
        <f>G$37*(1+$A68)</f>
        <v>349.32198865361903</v>
      </c>
      <c r="M93" s="27">
        <f>G$37*(1+$A69)</f>
        <v>349.32198865361903</v>
      </c>
      <c r="N93" s="26">
        <f>G$37*(1+$A70)</f>
        <v>349.32198865361903</v>
      </c>
    </row>
    <row r="94" spans="10:14" x14ac:dyDescent="0.25">
      <c r="J94" s="37" t="s">
        <v>103</v>
      </c>
      <c r="K94" s="36">
        <v>3.312646935054123</v>
      </c>
      <c r="L94" s="36">
        <v>3.3868106724060811</v>
      </c>
      <c r="M94" s="36">
        <v>3.535138147109997</v>
      </c>
      <c r="N94" s="35">
        <v>3.6093018844619551</v>
      </c>
    </row>
    <row r="95" spans="10:14" x14ac:dyDescent="0.25">
      <c r="J95" s="34" t="s">
        <v>105</v>
      </c>
      <c r="K95" s="33">
        <v>-0.2</v>
      </c>
      <c r="L95" s="32">
        <v>-0.1</v>
      </c>
      <c r="M95" s="31">
        <v>0.1</v>
      </c>
      <c r="N95" s="30">
        <v>0.2</v>
      </c>
    </row>
    <row r="96" spans="10:14" x14ac:dyDescent="0.25">
      <c r="J96" s="29" t="s">
        <v>104</v>
      </c>
      <c r="K96" s="28">
        <v>136</v>
      </c>
      <c r="L96" s="28">
        <v>153</v>
      </c>
      <c r="M96" s="27">
        <v>187</v>
      </c>
      <c r="N96" s="26">
        <v>204</v>
      </c>
    </row>
    <row r="97" spans="10:14" ht="15.75" thickBot="1" x14ac:dyDescent="0.3">
      <c r="J97" s="25" t="s">
        <v>103</v>
      </c>
      <c r="K97" s="24">
        <v>3.2279607158633445</v>
      </c>
      <c r="L97" s="24">
        <v>3.3404089659994836</v>
      </c>
      <c r="M97" s="24">
        <v>3.5905688800070381</v>
      </c>
      <c r="N97" s="23">
        <v>3.7302460949588778</v>
      </c>
    </row>
    <row r="98" spans="10:14" x14ac:dyDescent="0.25">
      <c r="J98" s="22" t="s">
        <v>102</v>
      </c>
    </row>
  </sheetData>
  <mergeCells count="2">
    <mergeCell ref="A1:G4"/>
    <mergeCell ref="C53:D53"/>
  </mergeCells>
  <conditionalFormatting sqref="K79:N79 K82:N82 K85:N85 K88:N88 K91:N91 K94:N94 K97:N9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AforADCalc">
                <anchor moveWithCells="1" sizeWithCells="1">
                  <from>
                    <xdr:col>3</xdr:col>
                    <xdr:colOff>581025</xdr:colOff>
                    <xdr:row>4</xdr:row>
                    <xdr:rowOff>152400</xdr:rowOff>
                  </from>
                  <to>
                    <xdr:col>7</xdr:col>
                    <xdr:colOff>466725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Calcs</vt:lpstr>
      <vt:lpstr>Sensitivity Analysis</vt:lpstr>
      <vt:lpstr>Dairy_Cows</vt:lpstr>
      <vt:lpstr>Elec_Capacity</vt:lpstr>
      <vt:lpstr>Input_Scroll</vt:lpstr>
      <vt:lpstr>Maize_Area</vt:lpstr>
      <vt:lpstr>SPB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michael.chesshire</dc:creator>
  <cp:lastModifiedBy>Krishna Sapkota</cp:lastModifiedBy>
  <cp:lastPrinted>2013-10-14T15:50:28Z</cp:lastPrinted>
  <dcterms:created xsi:type="dcterms:W3CDTF">2009-02-13T11:11:05Z</dcterms:created>
  <dcterms:modified xsi:type="dcterms:W3CDTF">2013-10-24T07:14:14Z</dcterms:modified>
</cp:coreProperties>
</file>